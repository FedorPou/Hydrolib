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ЭтаКнига"/>
  <xr:revisionPtr revIDLastSave="0" documentId="13_ncr:1_{D3EB9586-2CEE-4D03-BD15-4874507D4D39}" xr6:coauthVersionLast="47" xr6:coauthVersionMax="47" xr10:uidLastSave="{00000000-0000-0000-0000-000000000000}"/>
  <bookViews>
    <workbookView xWindow="20" yWindow="1270" windowWidth="25580" windowHeight="14010" tabRatio="896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Other" sheetId="5" r:id="rId12"/>
    <sheet name="Thyristors" sheetId="14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1" i="5" l="1"/>
  <c r="P27" i="10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<sst xmlns="http://schemas.openxmlformats.org/spreadsheetml/2006/main" count="4827" uniqueCount="1924">
  <si>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</si>
  <si>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</si>
  <si>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</si>
  <si>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</si>
  <si>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</si>
  <si>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</si>
  <si>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</si>
  <si>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</si>
  <si>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</si>
  <si>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</si>
  <si>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</si>
  <si>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</si>
  <si>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</si>
  <si>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</si>
  <si>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</si>
  <si>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</si>
  <si>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</si>
  <si>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</si>
  <si>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</si>
  <si>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</si>
  <si>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</si>
  <si>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</si>
  <si>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</si>
  <si>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</si>
  <si>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</si>
  <si>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</si>
  <si>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</si>
  <si>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</si>
  <si>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</si>
  <si>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</si>
  <si>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</si>
  <si>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</si>
  <si>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</si>
  <si>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</si>
  <si>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</si>
  <si>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</si>
  <si>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</si>
  <si>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</si>
  <si>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</si>
  <si>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</si>
  <si>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</si>
  <si>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</si>
  <si>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</si>
  <si>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</si>
  <si>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</si>
  <si>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</si>
  <si>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</si>
  <si>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</si>
  <si>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</si>
  <si>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</si>
  <si>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</si>
  <si>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</si>
  <si>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</si>
  <si>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</si>
  <si>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</si>
  <si>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</si>
  <si>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</si>
  <si>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</si>
  <si>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</si>
  <si>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</si>
  <si>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</si>
  <si>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</si>
  <si>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</si>
  <si>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</si>
  <si>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</si>
  <si>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</si>
  <si>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</si>
  <si>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</si>
  <si>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</si>
  <si>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</si>
  <si>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</si>
  <si>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</si>
  <si>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</si>
  <si>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</si>
  <si>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</si>
  <si>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</si>
  <si>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</si>
  <si>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</si>
  <si>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</si>
  <si>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</si>
  <si>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</si>
  <si>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</si>
  <si>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</si>
  <si>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</si>
  <si>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</si>
  <si>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</si>
  <si>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</si>
  <si>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</si>
  <si>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</si>
  <si>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</si>
  <si>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</si>
  <si>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</si>
  <si>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</si>
  <si>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</si>
  <si>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</si>
  <si>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</si>
  <si>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</si>
  <si>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</si>
  <si>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</si>
  <si>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</si>
  <si>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</si>
  <si>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</si>
  <si>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</si>
  <si>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</si>
  <si>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</si>
  <si>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</si>
  <si>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</si>
  <si>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</si>
  <si>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</si>
  <si>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</si>
  <si>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</si>
  <si>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</si>
  <si>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</si>
  <si>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</si>
  <si>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</si>
  <si>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</si>
  <si>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</si>
  <si>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</si>
  <si>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</si>
  <si>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</si>
  <si>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</si>
  <si>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</si>
  <si>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</si>
  <si>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</si>
  <si>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</si>
  <si>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</si>
  <si>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</si>
  <si>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</si>
  <si>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</si>
  <si>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</si>
  <si>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</si>
  <si>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</si>
  <si>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</si>
  <si>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</si>
  <si>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</si>
  <si>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</si>
  <si>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</si>
  <si>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</si>
  <si>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</si>
  <si>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</si>
  <si>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</si>
  <si>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</si>
  <si>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</si>
  <si>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</si>
  <si>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</si>
  <si>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</si>
  <si>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</si>
  <si>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</si>
  <si>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</si>
  <si>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</si>
  <si>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</si>
  <si>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</si>
  <si>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</si>
  <si>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</si>
  <si>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</si>
  <si>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</si>
  <si>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</si>
  <si>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</si>
  <si>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</si>
  <si>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</si>
  <si>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</si>
  <si>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</si>
  <si>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</si>
  <si>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</si>
  <si>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</si>
  <si>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</si>
  <si>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</si>
  <si>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</si>
  <si>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</si>
  <si>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</si>
  <si>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</si>
  <si>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</si>
  <si>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</si>
  <si>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</si>
  <si>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</si>
  <si>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</si>
  <si>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</si>
  <si>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</si>
  <si>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</si>
  <si>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</si>
  <si>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</si>
  <si>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</si>
  <si>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</si>
  <si>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</si>
  <si>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</si>
  <si>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</si>
  <si>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</si>
  <si>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</si>
  <si>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</si>
  <si>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</si>
  <si>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</si>
  <si>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</si>
  <si>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</si>
  <si>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</si>
  <si>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</si>
  <si>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</si>
  <si>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</si>
  <si>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</si>
  <si>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</si>
  <si>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</si>
  <si>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</si>
  <si>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</si>
  <si>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</si>
  <si>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</si>
  <si>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</si>
  <si>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</si>
  <si>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</si>
  <si>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</si>
  <si>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</si>
  <si>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</si>
  <si>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</si>
  <si>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</si>
  <si>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</si>
  <si>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</si>
  <si>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</si>
  <si>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</si>
  <si>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</si>
  <si>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</si>
  <si>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</si>
  <si>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</si>
  <si>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</si>
  <si>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</si>
  <si>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</si>
  <si>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</si>
  <si>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</si>
  <si>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</si>
  <si>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</si>
  <si>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</si>
  <si>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</si>
  <si>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</si>
  <si>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</si>
  <si>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</si>
  <si>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</si>
  <si>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</si>
  <si>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</si>
  <si>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</si>
  <si>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</si>
  <si>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</si>
  <si>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</si>
  <si>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</si>
  <si>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</si>
  <si>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</si>
  <si>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</si>
  <si>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</si>
  <si>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</si>
  <si>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</si>
  <si>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</si>
  <si>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</si>
  <si>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</si>
  <si>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</si>
  <si>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</si>
  <si>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</si>
  <si>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</si>
  <si>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</si>
  <si>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</si>
  <si>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</si>
  <si>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</si>
  <si>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</si>
  <si>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</si>
  <si>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</si>
  <si>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</si>
  <si>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</si>
  <si>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</si>
  <si>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</si>
  <si>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</si>
  <si>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</si>
  <si>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</si>
  <si>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</si>
  <si>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</si>
  <si>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</si>
  <si>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</si>
  <si>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</si>
  <si>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</si>
  <si>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</si>
  <si>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</si>
  <si>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</si>
  <si>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</si>
  <si>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</si>
  <si>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</si>
  <si>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</si>
  <si>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</si>
  <si>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</si>
  <si>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</si>
  <si>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</si>
  <si>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</si>
  <si>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</si>
  <si>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</si>
  <si>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</si>
  <si>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</si>
  <si>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</si>
  <si>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</si>
  <si>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</si>
  <si>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</si>
  <si>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</si>
  <si>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</si>
  <si>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</si>
  <si>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</si>
  <si>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</si>
  <si>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</si>
  <si>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</si>
  <si>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</si>
  <si>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</si>
  <si>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</si>
  <si>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</si>
  <si>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</si>
  <si>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</si>
  <si>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</si>
  <si>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</si>
  <si>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</si>
  <si>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</si>
  <si>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</si>
  <si>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</si>
  <si>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</si>
  <si>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</si>
  <si>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</si>
  <si>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</si>
  <si>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</si>
  <si>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</si>
  <si>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</si>
  <si>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</si>
  <si>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</si>
  <si>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</si>
  <si>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</si>
  <si>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</si>
  <si>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</si>
  <si>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</si>
  <si>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</si>
  <si>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</si>
  <si>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</si>
  <si>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</si>
  <si>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</si>
  <si>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</si>
  <si>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</si>
  <si>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</si>
  <si>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</si>
  <si>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</si>
  <si>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</si>
  <si>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</si>
  <si>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</si>
  <si>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</si>
  <si>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</si>
  <si>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</si>
  <si>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</si>
  <si>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</si>
  <si>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</si>
  <si>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</si>
  <si>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</si>
  <si>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</si>
  <si>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</si>
  <si>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</si>
  <si>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</si>
  <si>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</si>
  <si>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</si>
  <si>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</si>
  <si>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</si>
  <si>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</si>
  <si>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</si>
  <si>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</si>
  <si>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</si>
  <si>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</si>
  <si>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</si>
  <si>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</si>
  <si>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</si>
  <si>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</si>
  <si>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</si>
  <si>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</si>
  <si>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</si>
  <si>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</si>
  <si>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</si>
  <si>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</si>
  <si>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</si>
  <si>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</si>
  <si>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</si>
  <si>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</si>
  <si>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</si>
  <si>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</si>
  <si>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</si>
  <si>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</si>
  <si>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</si>
  <si>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</si>
  <si>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</si>
  <si>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</si>
  <si>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</si>
  <si>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</si>
  <si>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</si>
  <si>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</si>
  <si>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</si>
  <si>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</si>
  <si>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</si>
  <si>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</si>
  <si>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</si>
  <si>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</si>
  <si>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</si>
  <si>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</si>
  <si>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</si>
  <si>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</si>
  <si>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</si>
  <si>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</si>
  <si>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</si>
  <si>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</si>
  <si>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</si>
  <si>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</si>
  <si>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</si>
  <si>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</si>
  <si>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</si>
  <si>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</si>
  <si>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</si>
  <si>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</si>
  <si>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</si>
  <si>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</si>
  <si>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</si>
  <si>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</si>
  <si>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</si>
  <si>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</si>
  <si>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</si>
  <si>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</si>
  <si>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</si>
  <si>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</si>
  <si>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</si>
  <si>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</si>
  <si>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</si>
  <si>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</si>
  <si>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</si>
  <si>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</si>
  <si>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</si>
  <si>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</si>
  <si>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</si>
  <si>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</si>
  <si>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</si>
  <si>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</si>
  <si>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</si>
  <si>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</si>
  <si>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</si>
  <si>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</si>
  <si>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</si>
  <si>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</si>
  <si>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</si>
  <si>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</si>
  <si>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</si>
  <si>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</si>
  <si>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</si>
  <si>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</si>
  <si>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</si>
  <si>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</si>
  <si>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</si>
  <si>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</si>
  <si>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</si>
  <si>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</si>
  <si>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</si>
  <si>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</si>
  <si>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</si>
  <si>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</si>
  <si>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</si>
  <si>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</si>
  <si>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</si>
  <si>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</si>
  <si>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</si>
  <si>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</si>
  <si>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</si>
  <si>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</si>
  <si>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</si>
  <si>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</si>
  <si>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</si>
  <si>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</si>
  <si>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</si>
  <si>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</si>
  <si>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</si>
  <si>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</si>
  <si>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</si>
  <si>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</si>
  <si>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</si>
  <si>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</si>
  <si>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</si>
  <si>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</si>
  <si>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</si>
  <si>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</si>
  <si>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</si>
  <si>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</si>
  <si>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</si>
  <si>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</si>
  <si>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</si>
  <si>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</si>
  <si>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</si>
  <si>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</si>
  <si>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</si>
  <si>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</si>
  <si>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</si>
  <si>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</si>
  <si>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</si>
  <si>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</si>
  <si>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</si>
  <si>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</si>
  <si>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</si>
  <si>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</si>
  <si>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</si>
  <si>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</si>
  <si>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</si>
  <si>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</si>
  <si>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</si>
  <si>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</si>
  <si>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</si>
  <si>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</si>
  <si>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</si>
  <si>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</si>
  <si>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</si>
  <si>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</si>
  <si>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</si>
  <si>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</si>
  <si>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</si>
  <si>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</si>
  <si>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</si>
  <si>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</si>
  <si>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</si>
  <si>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</si>
  <si>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</si>
  <si>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</si>
  <si>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</si>
  <si>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</si>
  <si>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</si>
  <si>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</si>
  <si>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</si>
  <si>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</si>
  <si>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</si>
  <si>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</si>
  <si>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</si>
  <si>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</si>
  <si>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</si>
  <si>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</si>
  <si>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</si>
  <si>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</si>
  <si>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</si>
  <si>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</si>
  <si>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</si>
  <si>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</si>
  <si>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</si>
  <si>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</si>
  <si>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</si>
  <si>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</si>
  <si>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</si>
  <si>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</si>
  <si>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</si>
  <si>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</si>
  <si>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</si>
  <si>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</si>
  <si>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</si>
  <si>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</si>
  <si>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</si>
  <si>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</si>
  <si>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</si>
  <si>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</si>
  <si>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</si>
  <si>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</si>
  <si>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</si>
  <si>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</si>
  <si>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</si>
  <si>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</si>
  <si>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</si>
  <si>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</si>
  <si>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</si>
  <si>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</si>
  <si>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</si>
  <si>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</si>
  <si>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</si>
  <si>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</si>
  <si>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</si>
  <si>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</si>
  <si>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</si>
  <si>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</si>
  <si>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</si>
  <si>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</si>
  <si>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</si>
  <si>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</si>
  <si>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</si>
  <si>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</si>
  <si>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</si>
  <si>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</si>
  <si>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</si>
  <si>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</si>
  <si>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</si>
  <si>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</si>
  <si>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</si>
  <si>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</si>
  <si>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</si>
  <si>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</si>
  <si>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</si>
  <si>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</si>
  <si>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</si>
  <si>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</si>
  <si>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</si>
  <si>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</si>
  <si>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</si>
  <si>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</si>
  <si>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</si>
  <si>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</si>
  <si>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</si>
  <si>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</si>
  <si>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</si>
  <si>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</si>
  <si>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</si>
  <si>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</si>
  <si>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</si>
  <si>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</si>
  <si>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</si>
  <si>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</si>
  <si>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</si>
  <si>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</si>
  <si>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</si>
  <si>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</si>
  <si>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</si>
  <si>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</si>
  <si>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</si>
  <si>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</si>
  <si>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</si>
  <si>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</si>
  <si>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</si>
  <si>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</si>
  <si>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</si>
  <si>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</si>
  <si>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</si>
  <si>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</si>
  <si>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</si>
  <si>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</si>
  <si>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</si>
  <si>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</si>
  <si>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</si>
  <si>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</si>
  <si>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</si>
  <si>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</si>
  <si>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</si>
  <si>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</si>
  <si>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</si>
  <si>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</si>
  <si>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</si>
  <si>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</si>
  <si>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</si>
  <si>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</si>
  <si>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</si>
  <si>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</si>
  <si>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</si>
  <si>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</si>
  <si>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</si>
  <si>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</si>
  <si>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</si>
  <si>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</si>
  <si>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</si>
  <si>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</si>
  <si>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</si>
  <si>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</si>
  <si>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</si>
  <si>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</si>
  <si>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</si>
  <si>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</si>
  <si>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</si>
  <si>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</si>
  <si>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</si>
  <si>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</si>
  <si>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</si>
  <si>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</si>
  <si>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</si>
  <si>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</si>
  <si>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</si>
  <si>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</si>
  <si>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</si>
  <si>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</si>
  <si>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</si>
  <si>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</si>
  <si>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</si>
  <si>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</si>
  <si>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</si>
  <si>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</si>
  <si>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</si>
  <si>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</si>
  <si>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</si>
  <si>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</si>
  <si>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</si>
  <si>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</si>
  <si>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</si>
  <si>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</si>
  <si>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</si>
  <si>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</si>
  <si>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</si>
  <si>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</si>
  <si>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</si>
  <si>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</si>
  <si>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</si>
  <si>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</si>
  <si>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</si>
  <si>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</si>
  <si>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</si>
  <si>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</si>
  <si>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</si>
  <si>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</si>
  <si>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</si>
  <si>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</si>
  <si>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</si>
  <si>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</si>
  <si>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</si>
  <si>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</si>
  <si>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</si>
  <si>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</si>
  <si>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</si>
  <si>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</si>
  <si>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</si>
  <si>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</si>
  <si>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</si>
  <si>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</si>
  <si>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</si>
  <si>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</si>
  <si>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</si>
  <si>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</si>
  <si>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</si>
  <si>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</si>
  <si>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</si>
  <si>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</si>
  <si>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</si>
  <si>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</si>
  <si>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</si>
  <si>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</si>
  <si>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</si>
  <si>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</si>
  <si>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</si>
  <si>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</si>
  <si>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</si>
  <si>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</si>
  <si>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</si>
  <si>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</si>
  <si>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</si>
  <si>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</si>
  <si>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</si>
  <si>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</si>
  <si>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</si>
  <si>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</si>
  <si>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</si>
  <si>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</si>
  <si>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</si>
  <si>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</si>
  <si>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</si>
  <si>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</si>
  <si>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</si>
  <si>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</si>
  <si>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</si>
  <si>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</si>
  <si>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</si>
  <si>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</si>
  <si>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</si>
  <si>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</si>
  <si>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</si>
  <si>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</si>
  <si>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</si>
  <si>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</si>
  <si>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</si>
  <si>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</si>
  <si>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</si>
  <si>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</si>
  <si>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</si>
  <si>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</si>
  <si>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</si>
  <si>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</si>
  <si>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</si>
  <si>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</si>
  <si>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</si>
  <si>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</si>
  <si>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</si>
  <si>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</si>
  <si>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</si>
  <si>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</si>
  <si>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</si>
  <si>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</si>
  <si>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</si>
  <si>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</si>
  <si>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</si>
  <si>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</si>
  <si>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</si>
  <si>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</si>
  <si>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</si>
  <si>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</si>
  <si>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</si>
  <si>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</si>
  <si>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</si>
  <si>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</si>
  <si>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</si>
  <si>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</si>
  <si>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</si>
  <si>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</si>
  <si>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</si>
  <si>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</si>
  <si>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</si>
  <si>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</si>
  <si>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</si>
  <si>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</si>
  <si>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</si>
  <si>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</si>
  <si>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</si>
  <si>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</si>
  <si>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</si>
  <si>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</si>
  <si>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</si>
  <si>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</si>
  <si>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</si>
  <si>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</si>
  <si>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</si>
  <si>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</si>
  <si>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</si>
  <si>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</si>
  <si>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</si>
  <si>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</si>
  <si>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</si>
  <si>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</si>
  <si>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</si>
  <si>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</si>
  <si>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</si>
  <si>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</si>
  <si>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</si>
  <si>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</si>
  <si>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</si>
  <si>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</si>
  <si>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</si>
  <si>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</si>
  <si>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</si>
  <si>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</si>
  <si>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</si>
  <si>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</si>
  <si>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</si>
  <si>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</si>
  <si>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</si>
  <si>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</si>
  <si>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</si>
  <si>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</si>
  <si>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</si>
  <si>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</si>
  <si>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</si>
  <si>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</si>
  <si>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</si>
  <si>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</si>
  <si>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</si>
  <si>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</si>
  <si>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</si>
  <si>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</si>
  <si>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</si>
  <si>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</si>
  <si>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</si>
  <si>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</si>
  <si>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</si>
  <si>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</si>
  <si>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</si>
  <si>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</si>
  <si>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</si>
  <si>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</si>
  <si>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</si>
  <si>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</si>
  <si>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</si>
  <si>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</si>
  <si>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</si>
  <si>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</si>
  <si>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</si>
  <si>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</si>
  <si>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</si>
  <si>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</si>
  <si>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</si>
  <si>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</si>
  <si>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</si>
  <si>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</si>
  <si>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</si>
  <si>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</si>
  <si>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</si>
  <si>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</si>
  <si>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</si>
  <si>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</si>
  <si>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</si>
  <si>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</si>
  <si>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</si>
  <si>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</si>
  <si>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</si>
  <si>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</si>
  <si>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</si>
  <si>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</si>
  <si>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</si>
  <si>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</si>
  <si>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</si>
  <si>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</si>
  <si>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</si>
  <si>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</si>
  <si>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</si>
  <si>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</si>
  <si>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</si>
  <si>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</si>
  <si>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</si>
  <si>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</si>
  <si>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</si>
  <si>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</si>
  <si>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</si>
  <si>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</si>
  <si>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</si>
  <si>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</si>
  <si>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</si>
  <si>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</si>
  <si>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</si>
  <si>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</si>
  <si>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</si>
  <si>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</si>
  <si>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</si>
  <si>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</si>
  <si>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</si>
  <si>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</si>
  <si>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</si>
  <si>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</si>
  <si>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</si>
  <si>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</si>
  <si>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</si>
  <si>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</si>
  <si>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</si>
  <si>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</si>
  <si>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</si>
  <si>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</si>
  <si>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</si>
  <si>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</si>
  <si>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</si>
  <si>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</si>
  <si>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</si>
  <si>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</si>
  <si>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</si>
  <si>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</si>
  <si>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</si>
  <si>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</si>
  <si>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</si>
  <si>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</si>
  <si>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</si>
  <si>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</si>
  <si>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</si>
  <si>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</si>
  <si>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</si>
  <si>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</si>
  <si>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</si>
  <si>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</si>
  <si>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</si>
  <si>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</si>
  <si>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</si>
  <si>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</si>
  <si>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</si>
  <si>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</si>
  <si>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</si>
  <si>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</si>
  <si>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</si>
  <si>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</si>
  <si>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</si>
  <si>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</si>
  <si>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</si>
  <si>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</si>
  <si>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</si>
  <si>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</si>
  <si>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</si>
  <si>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</si>
  <si>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</si>
  <si>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</si>
  <si>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</si>
  <si>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</si>
  <si>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</si>
  <si>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</si>
  <si>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</si>
  <si>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</si>
  <si>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</si>
  <si>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</si>
  <si>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</si>
  <si>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</si>
  <si>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</si>
  <si>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</si>
  <si>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</si>
  <si>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</si>
  <si>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</si>
  <si>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</si>
  <si>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</si>
  <si>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</si>
  <si>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</si>
  <si>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</si>
  <si>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</si>
  <si>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</si>
  <si>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</si>
  <si>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</si>
  <si>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</si>
  <si>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</si>
  <si>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</si>
  <si>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</si>
  <si>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</si>
  <si>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</si>
  <si>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</si>
  <si>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</si>
  <si>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</si>
  <si>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</si>
  <si>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</si>
  <si>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</si>
  <si>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</si>
  <si>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</si>
  <si>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</si>
  <si>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</si>
  <si>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</si>
  <si>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</si>
  <si>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</si>
  <si>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</si>
  <si>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</si>
  <si>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</si>
  <si>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</si>
  <si>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</si>
  <si>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</si>
  <si>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</si>
  <si>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</si>
  <si>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</si>
  <si>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</si>
  <si>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</si>
  <si>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</si>
  <si>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</si>
  <si>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</si>
  <si>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</si>
  <si>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</si>
  <si>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</si>
  <si>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</si>
  <si>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</si>
  <si>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</si>
  <si>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</si>
  <si>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</si>
  <si>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</si>
  <si>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</si>
  <si>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</si>
  <si>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</si>
  <si>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</si>
  <si>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</si>
  <si>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</si>
  <si>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</si>
  <si>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</si>
  <si>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</si>
  <si>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</si>
  <si>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</si>
  <si>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</si>
  <si>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</si>
  <si>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</si>
  <si>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</si>
  <si>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</si>
  <si>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</si>
  <si>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</si>
  <si>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</si>
  <si>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</si>
  <si>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</si>
  <si>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</si>
  <si>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</si>
  <si>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</si>
  <si>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</si>
  <si>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</si>
  <si>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</si>
  <si>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</si>
  <si>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</si>
  <si>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</si>
  <si>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</si>
  <si>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</si>
  <si>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</si>
  <si>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</si>
  <si>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</si>
  <si>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</si>
  <si>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</si>
  <si>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</si>
  <si>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</si>
  <si>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</si>
  <si>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</si>
  <si>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</si>
  <si>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</si>
  <si>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</si>
  <si>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</si>
  <si>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</si>
  <si>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</si>
  <si>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</si>
  <si>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</si>
  <si>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</si>
  <si>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</si>
  <si>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</si>
  <si>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</si>
  <si>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</si>
  <si>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</si>
  <si>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</si>
  <si>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</si>
  <si>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</si>
  <si>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</si>
  <si>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</si>
  <si>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</si>
  <si>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</si>
  <si>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</si>
  <si>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</si>
  <si>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</si>
  <si>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</si>
  <si>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</si>
  <si>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</si>
  <si>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</si>
  <si>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</si>
  <si>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</si>
  <si>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</si>
  <si>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</si>
  <si>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</si>
  <si>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</si>
  <si>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</si>
  <si>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</si>
  <si>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</si>
  <si>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</si>
  <si>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</si>
  <si>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</si>
  <si>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</si>
  <si>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</si>
  <si>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</si>
  <si>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</si>
  <si>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</si>
  <si>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</si>
  <si>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</si>
  <si>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</si>
  <si>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</si>
  <si>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</si>
  <si>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</si>
  <si>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</si>
  <si>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</si>
  <si>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</si>
  <si>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</si>
  <si>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</si>
  <si>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</si>
  <si>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</si>
  <si>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</si>
  <si>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</si>
  <si>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</si>
  <si>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</si>
  <si>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</si>
  <si>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</si>
  <si>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</si>
  <si>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</si>
  <si>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</si>
  <si>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</si>
  <si>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</si>
  <si>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</si>
  <si>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</si>
  <si>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</si>
  <si>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</si>
  <si>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</si>
  <si>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</si>
  <si>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</si>
  <si>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</si>
  <si>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</si>
  <si>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</si>
  <si>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</si>
  <si>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</si>
  <si>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</si>
  <si>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</si>
  <si>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</si>
  <si>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</si>
  <si>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</si>
  <si>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</si>
  <si>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</si>
  <si>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</si>
  <si>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</si>
  <si>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</si>
  <si>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</si>
  <si>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</si>
  <si>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</si>
  <si>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</si>
  <si>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</si>
  <si>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</si>
  <si>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</si>
  <si>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</si>
  <si>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</si>
  <si>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</si>
  <si>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</si>
  <si>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</si>
  <si>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</si>
  <si>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</si>
  <si>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</si>
  <si>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</si>
  <si>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</si>
  <si>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</si>
  <si>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</si>
  <si>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</si>
  <si>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</si>
  <si>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</si>
  <si>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</si>
  <si>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</si>
  <si>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</si>
  <si>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</si>
  <si>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</si>
  <si>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</si>
  <si>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</si>
  <si>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</si>
  <si>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</si>
  <si>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</si>
  <si>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</si>
  <si>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</si>
  <si>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</si>
  <si>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</si>
  <si>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</si>
  <si>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</si>
  <si>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</si>
  <si>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</si>
  <si>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</si>
  <si>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</si>
  <si>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</si>
  <si>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</si>
  <si>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</si>
  <si>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</si>
  <si>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</si>
  <si>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</si>
  <si>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</si>
  <si>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</si>
  <si>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</si>
  <si>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</si>
  <si>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</si>
  <si>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</si>
  <si>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</si>
  <si>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</si>
  <si>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</si>
  <si>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</si>
  <si>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</si>
  <si>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</si>
  <si>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</si>
  <si>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</si>
  <si>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</si>
  <si>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</si>
  <si>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</si>
  <si>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</si>
  <si>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</si>
  <si>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</si>
  <si>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</si>
  <si>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</si>
  <si>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</si>
  <si>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</si>
  <si>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</si>
  <si>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</si>
  <si>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</si>
  <si>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</si>
  <si>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</si>
  <si>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</si>
  <si>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</si>
  <si>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</si>
  <si>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</si>
  <si>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</si>
  <si>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</si>
  <si>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</si>
  <si>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</si>
  <si>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</si>
  <si>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</si>
  <si>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</si>
  <si>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</si>
  <si>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</si>
  <si>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</si>
  <si>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</si>
  <si>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</si>
  <si>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</si>
  <si>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</si>
  <si>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</si>
  <si>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</si>
  <si>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</si>
  <si>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</si>
  <si>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</si>
  <si>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</si>
  <si>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</si>
  <si>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</si>
  <si>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</si>
  <si>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</si>
  <si>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</si>
  <si>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</si>
  <si>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</si>
  <si>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</si>
  <si>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</si>
  <si>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</si>
  <si>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</si>
  <si>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</si>
  <si>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</si>
  <si>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</si>
  <si>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</si>
  <si>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</si>
  <si>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</si>
  <si>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</si>
  <si>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</si>
  <si>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</si>
  <si>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</si>
  <si>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</si>
  <si>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</si>
  <si>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</si>
  <si>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</si>
  <si>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</si>
  <si>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</si>
  <si>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</si>
  <si>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</si>
  <si>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</si>
  <si>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</si>
  <si>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</si>
  <si>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</si>
  <si>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</si>
  <si>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</si>
  <si>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</si>
  <si>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</si>
  <si>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</si>
  <si>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</si>
  <si>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</si>
  <si>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</si>
  <si>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</si>
  <si>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</si>
  <si>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</si>
  <si>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</si>
  <si>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</si>
  <si>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</si>
  <si>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</si>
  <si>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</si>
  <si>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</si>
  <si>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</si>
  <si>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</si>
  <si>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</si>
  <si>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</si>
  <si>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</si>
  <si>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</si>
  <si>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</si>
  <si>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</si>
  <si>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</si>
  <si>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</si>
  <si>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</si>
  <si>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</si>
  <si>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</si>
  <si>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</si>
  <si>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</si>
  <si>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</si>
  <si>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</si>
  <si>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</si>
  <si>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</si>
  <si>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</si>
  <si>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</si>
  <si>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</si>
  <si>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</si>
  <si>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</si>
  <si>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</si>
  <si>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</si>
  <si>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</si>
  <si>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</si>
  <si>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</si>
  <si>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</si>
  <si>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</si>
  <si>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</si>
  <si>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</si>
  <si>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</si>
  <si>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</si>
  <si>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</si>
  <si>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</si>
  <si>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</si>
  <si>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</si>
  <si>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</si>
  <si>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</si>
  <si>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</si>
  <si>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</si>
  <si>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</si>
  <si>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</si>
  <si>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</si>
  <si>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</si>
  <si>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</si>
  <si>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</si>
  <si>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</si>
  <si>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</si>
  <si>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</si>
  <si>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</si>
  <si>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</si>
  <si>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</si>
  <si>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</si>
  <si>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</si>
  <si>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</si>
  <si>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</si>
  <si>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</si>
  <si>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</si>
  <si>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</si>
  <si>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</si>
  <si>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</si>
  <si>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</si>
  <si>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</si>
  <si>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</si>
  <si>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</si>
  <si>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</si>
  <si>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</si>
  <si>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</si>
  <si>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</si>
  <si>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</si>
  <si>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</si>
  <si>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</si>
  <si>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</si>
  <si>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</si>
  <si>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</si>
  <si>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</si>
  <si>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</si>
  <si>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</si>
  <si>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</si>
  <si>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</si>
  <si>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</si>
  <si>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</si>
  <si>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</si>
  <si>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</si>
  <si>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</si>
  <si>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</si>
  <si>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</si>
  <si>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</si>
  <si>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</si>
  <si>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</si>
  <si>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</si>
  <si>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</si>
  <si>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</si>
  <si>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</si>
  <si>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</si>
  <si>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</si>
  <si>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</si>
  <si>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</si>
  <si>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</si>
  <si>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</si>
  <si>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</si>
  <si>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</si>
  <si>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</si>
  <si>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</si>
  <si>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</si>
  <si>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</si>
  <si>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</si>
  <si>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</si>
  <si>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</si>
  <si>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</si>
  <si>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</si>
  <si>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</si>
  <si>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</si>
  <si>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</si>
  <si>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</si>
  <si>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</si>
  <si>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</si>
  <si>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</si>
  <si>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</si>
  <si>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</si>
  <si>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</si>
  <si>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</si>
  <si>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</si>
  <si>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</si>
  <si>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</si>
  <si>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</si>
  <si>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</si>
  <si>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</si>
  <si>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</si>
  <si>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</si>
  <si>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</si>
  <si>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</si>
  <si>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</si>
  <si>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</si>
  <si>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</si>
  <si>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</si>
  <si>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</si>
  <si>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</si>
  <si>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</si>
  <si>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</si>
  <si>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</si>
  <si>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</si>
  <si>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</si>
  <si>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</si>
  <si>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</si>
  <si>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</si>
  <si>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</si>
  <si>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</si>
  <si>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</si>
  <si>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</si>
  <si>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</si>
  <si>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</si>
  <si>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</si>
  <si>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</si>
  <si>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</si>
  <si>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</si>
  <si>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</si>
  <si>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</si>
  <si>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</si>
  <si>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</si>
  <si>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</si>
  <si>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</si>
  <si>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</si>
  <si>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</si>
  <si>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</si>
  <si>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</si>
  <si>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</si>
  <si>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</si>
  <si>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</si>
  <si>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</si>
  <si>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</si>
  <si>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</si>
  <si>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</si>
  <si>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</si>
  <si>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</si>
  <si>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</si>
  <si>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</si>
  <si>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</si>
  <si>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</si>
  <si>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</si>
  <si>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</si>
  <si>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</si>
  <si>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</si>
  <si>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</si>
  <si>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</si>
  <si>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</si>
  <si>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</si>
  <si>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</si>
  <si>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</si>
  <si>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</si>
  <si>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</si>
  <si>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</si>
  <si>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</si>
  <si>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</si>
  <si>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</si>
  <si>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</si>
  <si>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</si>
  <si>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</si>
  <si>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</si>
  <si>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</si>
  <si>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</si>
  <si>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</si>
  <si>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</si>
  <si>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</si>
  <si>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</si>
  <si>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</si>
  <si>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</si>
  <si>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</si>
  <si>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</si>
  <si>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</si>
  <si>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</si>
  <si>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</si>
  <si>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</si>
  <si>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</si>
  <si>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</si>
  <si>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</si>
  <si>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</si>
  <si>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</si>
  <si>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</si>
  <si>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</si>
  <si>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</si>
  <si>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</si>
  <si>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</si>
  <si>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</si>
  <si>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</si>
  <si>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</si>
  <si>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</si>
  <si>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</si>
  <si>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</si>
  <si>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</si>
  <si>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</si>
  <si>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</si>
  <si>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</si>
  <si>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</si>
  <si>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</si>
  <si>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</si>
  <si>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</si>
  <si>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</si>
  <si>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</si>
  <si>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</si>
  <si>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</si>
  <si>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</si>
  <si>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</si>
  <si>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</si>
  <si>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</si>
  <si>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</si>
  <si>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</si>
  <si>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</si>
  <si>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</si>
  <si>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</si>
  <si>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</si>
  <si>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</si>
  <si>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</si>
  <si>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</si>
  <si>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</si>
  <si>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</si>
  <si>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</si>
  <si>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</si>
  <si>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</si>
  <si>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</si>
  <si>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</si>
  <si>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</si>
  <si>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</si>
  <si>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</si>
  <si>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</si>
  <si>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</si>
  <si>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</si>
  <si>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</si>
  <si>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</si>
  <si>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</si>
  <si>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</si>
  <si>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</si>
  <si>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</si>
  <si>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</si>
  <si>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</si>
  <si>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</si>
  <si>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</si>
  <si>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</si>
  <si>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</si>
  <si>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</si>
  <si>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</si>
  <si>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</si>
  <si>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</si>
  <si>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</si>
  <si>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</si>
  <si>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</si>
  <si>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</si>
  <si>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</si>
  <si>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</si>
  <si>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</si>
  <si>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</si>
  <si>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</si>
  <si>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</si>
  <si>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</si>
  <si>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</si>
  <si>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</si>
  <si>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</si>
  <si>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</si>
  <si>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</si>
  <si>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</si>
  <si>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</si>
  <si>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</si>
  <si>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</si>
  <si>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</si>
  <si>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</si>
  <si>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</si>
  <si>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Footprint Path 8</t>
  </si>
  <si>
    <t>Footprint Ref 8</t>
  </si>
  <si>
    <t>Footprint Path 9</t>
  </si>
  <si>
    <t>Footprint Ref 9</t>
  </si>
  <si>
    <t>Footprint Path 10</t>
  </si>
  <si>
    <t>Footprint Ref 10</t>
  </si>
  <si>
    <t>Footprint Path 11</t>
  </si>
  <si>
    <t>Footprint Ref 11</t>
  </si>
  <si>
    <t>Footprint Path 12</t>
  </si>
  <si>
    <t>Footprint Ref 12</t>
  </si>
  <si>
    <t>Footprint Path 13</t>
  </si>
  <si>
    <t>Footprint Ref 13</t>
  </si>
  <si>
    <t>Footprint Path 14</t>
  </si>
  <si>
    <t>Footprint Ref 14</t>
  </si>
  <si>
    <t>Footprint Path 15</t>
  </si>
  <si>
    <t>Footprint Ref 15</t>
  </si>
  <si>
    <t>Footprint Path 16</t>
  </si>
  <si>
    <t>Footprint Ref 16</t>
  </si>
  <si>
    <t>Footprint Path 17</t>
  </si>
  <si>
    <t>Footprint Ref 17</t>
  </si>
  <si>
    <t>Footprint Path 18</t>
  </si>
  <si>
    <t>Footprint Ref 18</t>
  </si>
  <si>
    <t>Footprint Path 19</t>
  </si>
  <si>
    <t>Footprint Ref 19</t>
  </si>
  <si>
    <t>Footprint Path 20</t>
  </si>
  <si>
    <t>Footprint Ref 20</t>
  </si>
  <si>
    <t>Footprint Path 21</t>
  </si>
  <si>
    <t>Footprint Ref 21</t>
  </si>
  <si>
    <t>Footprint Path 22</t>
  </si>
  <si>
    <t>Footprint Ref 22</t>
  </si>
  <si>
    <t>Footprint Path 23</t>
  </si>
  <si>
    <t>Footprint Ref 23</t>
  </si>
  <si>
    <t>Footprint Path 24</t>
  </si>
  <si>
    <t>Footprint Ref 24</t>
  </si>
  <si>
    <t>Footprint Path 25</t>
  </si>
  <si>
    <t>Footprint Ref 25</t>
  </si>
  <si>
    <t>Footprint Path 26</t>
  </si>
  <si>
    <t>Footprint Ref 26</t>
  </si>
  <si>
    <t>Footprint Path 27</t>
  </si>
  <si>
    <t>Footprint Ref 27</t>
  </si>
  <si>
    <t>Footprint Path 28</t>
  </si>
  <si>
    <t>Footprint Ref 28</t>
  </si>
  <si>
    <t>Footprint Path 29</t>
  </si>
  <si>
    <t>Footprint Ref 29</t>
  </si>
  <si>
    <t>Footprint Path 30</t>
  </si>
  <si>
    <t>Footprint Ref 30</t>
  </si>
  <si>
    <t>Footprint Path 31</t>
  </si>
  <si>
    <t>Footprint Ref 31</t>
  </si>
  <si>
    <t>Footprint Path 32</t>
  </si>
  <si>
    <t>Footprint Ref 32</t>
  </si>
  <si>
    <t>Footprint Path 33</t>
  </si>
  <si>
    <t>Footprint Ref 33</t>
  </si>
  <si>
    <t>Footprint Path 34</t>
  </si>
  <si>
    <t>Footprint Ref 34</t>
  </si>
  <si>
    <t>Footprint Path 35</t>
  </si>
  <si>
    <t>Footprint Ref 35</t>
  </si>
  <si>
    <t>Footprint Path 36</t>
  </si>
  <si>
    <t>Footprint Ref 36</t>
  </si>
  <si>
    <t>Footprint Path 37</t>
  </si>
  <si>
    <t>Footprint Ref 37</t>
  </si>
  <si>
    <t>Footprint Path 38</t>
  </si>
  <si>
    <t>Footprint Ref 38</t>
  </si>
  <si>
    <t>Libraries\Fedor's_pcb.PcbLib</t>
  </si>
  <si>
    <t>2.2nf</t>
  </si>
  <si>
    <t>3,3nf</t>
  </si>
  <si>
    <t>10nf</t>
  </si>
  <si>
    <t>22nf</t>
  </si>
  <si>
    <t>22uf</t>
  </si>
  <si>
    <t>30pf</t>
  </si>
  <si>
    <t>33nf</t>
  </si>
  <si>
    <t>100nf</t>
  </si>
  <si>
    <t>100pF</t>
  </si>
  <si>
    <t>150nf</t>
  </si>
  <si>
    <t>150pf</t>
  </si>
  <si>
    <t>180pf</t>
  </si>
  <si>
    <t>220pf</t>
  </si>
  <si>
    <t>330pf</t>
  </si>
  <si>
    <t>ANY_Condenser</t>
  </si>
  <si>
    <t>EIA0402(C)</t>
  </si>
  <si>
    <t>EIA0603(C)</t>
  </si>
  <si>
    <t>EIA0805(C)</t>
  </si>
  <si>
    <t>EIA1206(C)</t>
  </si>
  <si>
    <t>EIA1210(C)</t>
  </si>
  <si>
    <t>EIA1218(C)</t>
  </si>
  <si>
    <t>EIA1806(C)</t>
  </si>
  <si>
    <t>EIA1808(C)</t>
  </si>
  <si>
    <t>EIA1812(C)</t>
  </si>
  <si>
    <t>EIA2010(C)</t>
  </si>
  <si>
    <t>EIA2220(C)</t>
  </si>
  <si>
    <t>EIA2225(C)</t>
  </si>
  <si>
    <t>EIA2512(C)</t>
  </si>
  <si>
    <t>EIA2824(C)</t>
  </si>
  <si>
    <t>EIA3225(C)</t>
  </si>
  <si>
    <t>EIA4030(C)</t>
  </si>
  <si>
    <t>EIA4032(C)</t>
  </si>
  <si>
    <t>EIA5040(C)</t>
  </si>
  <si>
    <t>EIA6054(C)</t>
  </si>
  <si>
    <t>EIA1206</t>
  </si>
  <si>
    <t>EIA1210</t>
  </si>
  <si>
    <t>EIA1218</t>
  </si>
  <si>
    <t>EIA1806</t>
  </si>
  <si>
    <t>EIA1808</t>
  </si>
  <si>
    <t>EIA1812</t>
  </si>
  <si>
    <t>EIA2010</t>
  </si>
  <si>
    <t>EIA2220</t>
  </si>
  <si>
    <t>EIA2225</t>
  </si>
  <si>
    <t>EIA2512</t>
  </si>
  <si>
    <t>EIA2824</t>
  </si>
  <si>
    <t>EIA3225</t>
  </si>
  <si>
    <t>EIA4030</t>
  </si>
  <si>
    <t>EIA4032</t>
  </si>
  <si>
    <t>EIA5040</t>
  </si>
  <si>
    <t>EIA6054</t>
  </si>
  <si>
    <t>75 ohms</t>
  </si>
  <si>
    <t>Libraries\Fedor's_sch.SchLib</t>
  </si>
  <si>
    <t>74ALVC244</t>
  </si>
  <si>
    <t>aerial</t>
  </si>
  <si>
    <t>AMS1084CM-ADJ</t>
  </si>
  <si>
    <t>AMS1084_Стабилизатор</t>
  </si>
  <si>
    <t>arduino_display</t>
  </si>
  <si>
    <t>ARDUINO_UNO</t>
  </si>
  <si>
    <t>Arduino_Uno</t>
  </si>
  <si>
    <t>ASC_MOTOR</t>
  </si>
  <si>
    <t>PCBMotor-star4layer</t>
  </si>
  <si>
    <t>ATMEGA16</t>
  </si>
  <si>
    <t>Balancer</t>
  </si>
  <si>
    <t>7805 sbaliz</t>
  </si>
  <si>
    <t>BalancerMCP1726</t>
  </si>
  <si>
    <t>MCP1726</t>
  </si>
  <si>
    <t>battery</t>
  </si>
  <si>
    <t>BATTERY_CONN</t>
  </si>
  <si>
    <t>conn(diy_x3)</t>
  </si>
  <si>
    <t>BatteryBig</t>
  </si>
  <si>
    <t>Power</t>
  </si>
  <si>
    <t>BD67173NUX</t>
  </si>
  <si>
    <t>BQ2057CSNTR</t>
  </si>
  <si>
    <t>BQ24133RGYR</t>
  </si>
  <si>
    <t>B24133RGYR</t>
  </si>
  <si>
    <t>Button</t>
  </si>
  <si>
    <t>ANY_SWITCHER</t>
  </si>
  <si>
    <t>Button2</t>
  </si>
  <si>
    <t>KAP1102E</t>
  </si>
  <si>
    <t>ButtonCommon</t>
  </si>
  <si>
    <t>ButtonNC</t>
  </si>
  <si>
    <t>KLS7-TS3601-5.0-180</t>
  </si>
  <si>
    <t>ButtonNO</t>
  </si>
  <si>
    <t>R1W</t>
  </si>
  <si>
    <t>3.3OHMS(1W)</t>
  </si>
  <si>
    <t>R2W</t>
  </si>
  <si>
    <t>MLT0.125</t>
  </si>
  <si>
    <t>R3W</t>
  </si>
  <si>
    <t>Raspeberry PI PICO W</t>
  </si>
  <si>
    <t>Raspeberry_pi_pico</t>
  </si>
  <si>
    <t>Reley</t>
  </si>
  <si>
    <t>Resonator</t>
  </si>
  <si>
    <t>Rezonator</t>
  </si>
  <si>
    <t>ROLLER_SWITCHER</t>
  </si>
  <si>
    <t>SS-12F23 (Switcher)</t>
  </si>
  <si>
    <t>Rpht</t>
  </si>
  <si>
    <t>FD1-1</t>
  </si>
  <si>
    <t>RVariable</t>
  </si>
  <si>
    <t>VAR2.5Koms</t>
  </si>
  <si>
    <t>VAR100K</t>
  </si>
  <si>
    <t>SB?</t>
  </si>
  <si>
    <t>SBx?</t>
  </si>
  <si>
    <t>sd_arduino_big</t>
  </si>
  <si>
    <t>sd_arduino_tiny</t>
  </si>
  <si>
    <t>sd_arduino</t>
  </si>
  <si>
    <t>ShineReceiver</t>
  </si>
  <si>
    <t>Socket220V (in)</t>
  </si>
  <si>
    <t>Socket220V (papa)</t>
  </si>
  <si>
    <t>SolderJumper</t>
  </si>
  <si>
    <t>Source</t>
  </si>
  <si>
    <t>Speaker</t>
  </si>
  <si>
    <t>TDA7000</t>
  </si>
  <si>
    <t>TLA431</t>
  </si>
  <si>
    <t>SOT95P237X112-3N</t>
  </si>
  <si>
    <t>TOP224Y</t>
  </si>
  <si>
    <t>Transformer(2)</t>
  </si>
  <si>
    <t>Transformer(3)</t>
  </si>
  <si>
    <t>TYPE-C (GOST)</t>
  </si>
  <si>
    <t>type-c</t>
  </si>
  <si>
    <t>UC3845</t>
  </si>
  <si>
    <t>UC3844</t>
  </si>
  <si>
    <t>ULN2003</t>
  </si>
  <si>
    <t>USB-C</t>
  </si>
  <si>
    <t>Varicap</t>
  </si>
  <si>
    <t>kv109v</t>
  </si>
  <si>
    <t>VTb</t>
  </si>
  <si>
    <t>BC547_SOT23-3</t>
  </si>
  <si>
    <t>BIPOLAR_BT(1)</t>
  </si>
  <si>
    <t>FZT788B</t>
  </si>
  <si>
    <t>VTmosfet(in)</t>
  </si>
  <si>
    <t>IRF630(TO263)</t>
  </si>
  <si>
    <t>VTmosfet(out)</t>
  </si>
  <si>
    <t>VTmosfet_diode</t>
  </si>
  <si>
    <t>VTn</t>
  </si>
  <si>
    <t>VToptron</t>
  </si>
  <si>
    <t>VTp</t>
  </si>
  <si>
    <t>WH-1602D</t>
  </si>
  <si>
    <t>0.1uF</t>
  </si>
  <si>
    <t>1.8nf</t>
  </si>
  <si>
    <t>1nf</t>
  </si>
  <si>
    <t>1uF</t>
  </si>
  <si>
    <t>CH340G</t>
  </si>
  <si>
    <t>CONN_10X</t>
  </si>
  <si>
    <t>CONN_CONNFLY(IDC X10)</t>
  </si>
  <si>
    <t>CONN_IDC_PIN10</t>
  </si>
  <si>
    <t>CONN_DC(arduino)</t>
  </si>
  <si>
    <t>CONN_DC</t>
  </si>
  <si>
    <t>CONN_ESP(1)</t>
  </si>
  <si>
    <t>CONN_ESP(2)</t>
  </si>
  <si>
    <t>CONN_FREE-SIGNALS</t>
  </si>
  <si>
    <t>CONN_GOST</t>
  </si>
  <si>
    <t>CONN_GRAPVD</t>
  </si>
  <si>
    <t>CONN_GRAPHICSCARD</t>
  </si>
  <si>
    <t>CONN_PBD2-12</t>
  </si>
  <si>
    <t>CONN_Motor</t>
  </si>
  <si>
    <t>CONN_IDC_PIN3</t>
  </si>
  <si>
    <t>conn_motor</t>
  </si>
  <si>
    <t>CONN_Motor_pump</t>
  </si>
  <si>
    <t>CONN(DIY)</t>
  </si>
  <si>
    <t>CONN_PWRBUS</t>
  </si>
  <si>
    <t>CONN_X1</t>
  </si>
  <si>
    <t>CONN_X3</t>
  </si>
  <si>
    <t>CONN-14(M)</t>
  </si>
  <si>
    <t>CONN-7*2(M)</t>
  </si>
  <si>
    <t>contacts_for_tda7000</t>
  </si>
  <si>
    <t>connector</t>
  </si>
  <si>
    <t>Cp</t>
  </si>
  <si>
    <t>100uF (polar)</t>
  </si>
  <si>
    <t>470UF(P)</t>
  </si>
  <si>
    <t>CV</t>
  </si>
  <si>
    <t>DC_Motor</t>
  </si>
  <si>
    <t>DD&amp;</t>
  </si>
  <si>
    <t>k561la7</t>
  </si>
  <si>
    <t>DDor</t>
  </si>
  <si>
    <t>Diode</t>
  </si>
  <si>
    <t>kd522b</t>
  </si>
  <si>
    <t>DiodeBridge</t>
  </si>
  <si>
    <t>DiodeStt</t>
  </si>
  <si>
    <t>1n4148</t>
  </si>
  <si>
    <t>UF4007</t>
  </si>
  <si>
    <t>DiodeZener</t>
  </si>
  <si>
    <t>3.9V4W_Стабилитрон</t>
  </si>
  <si>
    <t>5.6V3W_Стабилитрон</t>
  </si>
  <si>
    <t>24V3W_Стабилитрон</t>
  </si>
  <si>
    <t>EN/DIS</t>
  </si>
  <si>
    <t>ESP32</t>
  </si>
  <si>
    <t>ESP32SUPERMINI</t>
  </si>
  <si>
    <t>ESP32SUPERMINI_SECONDONE</t>
  </si>
  <si>
    <t>ESP8266</t>
  </si>
  <si>
    <t>esp8266</t>
  </si>
  <si>
    <t>ethernet_arduino</t>
  </si>
  <si>
    <t>FlyingWireAdaptor</t>
  </si>
  <si>
    <t>conn-14</t>
  </si>
  <si>
    <t>CONN_PROG</t>
  </si>
  <si>
    <t>Fusion</t>
  </si>
  <si>
    <t>HGD3120S</t>
  </si>
  <si>
    <t>Inductor</t>
  </si>
  <si>
    <t>56nh</t>
  </si>
  <si>
    <t>100uh</t>
  </si>
  <si>
    <t>ANY_INDUCTOR</t>
  </si>
  <si>
    <t>eiasp43</t>
  </si>
  <si>
    <t>Inductor(with coil)</t>
  </si>
  <si>
    <t>k10-17</t>
  </si>
  <si>
    <t>K176IE12</t>
  </si>
  <si>
    <t>k176ie12</t>
  </si>
  <si>
    <t>K561IE11</t>
  </si>
  <si>
    <t>k561ie11</t>
  </si>
  <si>
    <t>K561LE10_1</t>
  </si>
  <si>
    <t>k561LE10</t>
  </si>
  <si>
    <t>k561tm2</t>
  </si>
  <si>
    <t>L7805</t>
  </si>
  <si>
    <t>LAMP</t>
  </si>
  <si>
    <t>Led_diod</t>
  </si>
  <si>
    <t>LED 0603</t>
  </si>
  <si>
    <t>LM139</t>
  </si>
  <si>
    <t>LCC127P889X889X223-20N</t>
  </si>
  <si>
    <t>MC34063</t>
  </si>
  <si>
    <t>MP2359</t>
  </si>
  <si>
    <t>mt3608</t>
  </si>
  <si>
    <t>OV7670</t>
  </si>
  <si>
    <t>PhotoLed</t>
  </si>
  <si>
    <t>PIN</t>
  </si>
  <si>
    <t>PIN_POWER</t>
  </si>
  <si>
    <t>XT60</t>
  </si>
  <si>
    <t>PIN_SIGNAL</t>
  </si>
  <si>
    <t>PIN_TDA</t>
  </si>
  <si>
    <t>ANY_PINS</t>
  </si>
  <si>
    <t>R</t>
  </si>
  <si>
    <t>ANY_RESISTANCE</t>
  </si>
  <si>
    <t>EIA0402</t>
  </si>
  <si>
    <t>EIA0603</t>
  </si>
  <si>
    <t>EIA0805</t>
  </si>
  <si>
    <t>R_for_TDA</t>
  </si>
  <si>
    <t>4.7k</t>
  </si>
  <si>
    <t>10k</t>
  </si>
  <si>
    <t>22K</t>
  </si>
  <si>
    <t>47 ohms</t>
  </si>
  <si>
    <t>R_TERM</t>
  </si>
  <si>
    <t>d0.5mm X2</t>
  </si>
  <si>
    <t>*</t>
  </si>
  <si>
    <t>buffer</t>
  </si>
  <si>
    <t>="Part Number"</t>
  </si>
  <si>
    <t>/</t>
  </si>
  <si>
    <t>DS1031-08-2*5P8BS41-3A, Штыревой, IDC, "папа", PIN 10, прямой, 1,27мм, SMD, 2x5, позолота</t>
  </si>
  <si>
    <t>K561ЛА7</t>
  </si>
  <si>
    <t>ESP32-PICO-D4</t>
  </si>
  <si>
    <t>PhotoDriver(IGBT)</t>
  </si>
  <si>
    <t>3</t>
  </si>
  <si>
    <t>M80-4001042M80-4001042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</si>
</sst>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</cellXfs>
  <cellStyles count="2">
    <cellStyle name="Гиперссылка" xfId="1" builtinId="8"/>
    <cellStyle name="Обычный" xfId="0" builtinId="0"/>
  </cellStyles>
  <dxfs count="21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6" tableType="xml" totalsRowShown="0" headerRowDxfId="128" connectionId="6">
  <autoFilter ref="A1:M56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7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6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25">
      <xmlColumnPr mapId="30" xpath="/Schottky/Part/VoltageNominal_V" xmlDataType="string"/>
    </tableColumn>
    <tableColumn id="9" xr3:uid="{431126AD-34DC-40A1-9CB6-D627B7878BEA}" uniqueName="Current_A" name="Current" dataDxfId="124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23" connectionId="19">
  <autoFilter ref="A1:M13" xr:uid="{35EAFB53-5120-48E8-B7CF-F527619EF3EB}"/>
  <tableColumns count="13">
    <tableColumn id="1" xr3:uid="{8FF51BCB-1CBC-41C4-B0E3-6994AEB249EF}" uniqueName="PartNumber" name="Part Number" dataDxfId="122">
      <xmlColumnPr mapId="6" xpath="/TVS/Part/PartNumber" xmlDataType="string"/>
    </tableColumn>
    <tableColumn id="2" xr3:uid="{254709FF-71DC-4C18-A11E-3F482A74905F}" uniqueName="Description" name="Description" dataDxfId="121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0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9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8">
      <xmlColumnPr mapId="6" xpath="/TVS/Part/LibraryRef" xmlDataType="string"/>
    </tableColumn>
    <tableColumn id="6" xr3:uid="{C5C7E783-B9B8-469C-B255-FC24F12E71DC}" uniqueName="FootprintPath1" name="Footprint Path 1" dataDxfId="117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6">
      <xmlColumnPr mapId="6" xpath="/TVS/Part/FootprintRef1" xmlDataType="string"/>
    </tableColumn>
    <tableColumn id="8" xr3:uid="{16B3AEE3-BEA7-4870-9494-F8A0EC5E9CCD}" uniqueName="VoltageNominal" name="Voltage (V)" dataDxfId="115">
      <xmlColumnPr mapId="6" xpath="/TVS/Part/VoltageNominal" xmlDataType="string"/>
    </tableColumn>
    <tableColumn id="9" xr3:uid="{7DDE345A-D145-4A55-B781-91F88095B1FE}" uniqueName="Power" name="Power (W)" dataDxfId="114">
      <xmlColumnPr mapId="6" xpath="/TVS/Part/Power" xmlDataType="string"/>
    </tableColumn>
    <tableColumn id="10" xr3:uid="{EBB777BC-3BC6-4EF4-AC63-F94C7CFCFC0E}" uniqueName="Value" name="Value" dataDxfId="113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12">
      <xmlColumnPr mapId="6" xpath="/TVS/Part/Inteface" xmlDataType="string"/>
    </tableColumn>
    <tableColumn id="12" xr3:uid="{2FC69434-3445-47B6-BAFF-5BDCB5CA78D9}" uniqueName="12" name="Datasheet" dataDxfId="111"/>
    <tableColumn id="13" xr3:uid="{EE87E164-8B8F-44FD-83D2-5807E590B6E4}" uniqueName="13" name="Автор" dataDxfId="1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09" connectionId="18">
  <autoFilter ref="A1:M18" xr:uid="{11DAD5D3-6841-4BFD-8583-65DE6E00D680}"/>
  <tableColumns count="13">
    <tableColumn id="1" xr3:uid="{59488B22-9EFD-4960-9418-72616CC8F6CC}" uniqueName="PartNumber" name="Part Number" dataDxfId="108">
      <xmlColumnPr mapId="8" xpath="/Transistors/Part/PartNumber" xmlDataType="string"/>
    </tableColumn>
    <tableColumn id="2" xr3:uid="{B6051881-2BC5-4D5F-9AEE-A86DF4412A4C}" uniqueName="Description" name="Description" dataDxfId="107">
      <xmlColumnPr mapId="8" xpath="/Transistors/Part/Description" xmlDataType="string"/>
    </tableColumn>
    <tableColumn id="3" xr3:uid="{377CEA9C-B3A1-4F57-920A-BA1AC9164370}" uniqueName="Comment" name="Comment" dataDxfId="10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5">
      <xmlColumnPr mapId="8" xpath="/Transistors/Part/LibraryPath" xmlDataType="string"/>
    </tableColumn>
    <tableColumn id="5" xr3:uid="{02693066-D721-4B47-BEE5-D678B96A10FB}" uniqueName="LibraryRef" name="Library Ref" dataDxfId="10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0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5" tableType="xml" totalsRowShown="0" headerRowDxfId="102" dataDxfId="101" connectionId="14">
  <autoFilter ref="A1:O185" xr:uid="{02061886-A591-4FD8-8C5B-3D1D2DB1F417}"/>
  <tableColumns count="15">
    <tableColumn id="1" xr3:uid="{1DE1C76C-B7F9-47FB-9EB0-156A2D87FD9E}" uniqueName="PartNumber" name="Part Number" dataDxfId="100">
      <xmlColumnPr mapId="38" xpath="/Resistors/Part/PartNumber" xmlDataType="string"/>
    </tableColumn>
    <tableColumn id="2" xr3:uid="{64E60790-EB9B-4A0D-B52C-7CB5A6F82DE8}" uniqueName="Description" name="Description" dataDxfId="99">
      <xmlColumnPr mapId="38" xpath="/Resistors/Part/Description" xmlDataType="string"/>
    </tableColumn>
    <tableColumn id="3" xr3:uid="{497E7478-3EE2-4F8D-A572-C738B7321387}" uniqueName="Comment" name="Comment" dataDxfId="98">
      <xmlColumnPr mapId="38" xpath="/Resistors/Part/Comment" xmlDataType="string"/>
    </tableColumn>
    <tableColumn id="4" xr3:uid="{255B034D-70D9-458C-8FA7-FEB8317A497F}" uniqueName="LibraryPath" name="Library Path" dataDxfId="97">
      <xmlColumnPr mapId="38" xpath="/Resistors/Part/LibraryPath" xmlDataType="string"/>
    </tableColumn>
    <tableColumn id="5" xr3:uid="{A3865419-9EA5-4AAA-B07F-FF52D437DC02}" uniqueName="LibraryRef" name="Library Ref" dataDxfId="96">
      <xmlColumnPr mapId="38" xpath="/Resistors/Part/LibraryRef" xmlDataType="string"/>
    </tableColumn>
    <tableColumn id="6" xr3:uid="{CE64E0F7-2F9E-477F-8D1B-040D90CB5685}" uniqueName="Value" name="Value" dataDxfId="95">
      <xmlColumnPr mapId="38" xpath="/Resistors/Part/Value" xmlDataType="string"/>
    </tableColumn>
    <tableColumn id="7" xr3:uid="{41F7703B-5A2D-47F6-B9C9-B9D386FC3CF8}" uniqueName="Tolerance" name="Tolerance" dataDxfId="94">
      <xmlColumnPr mapId="38" xpath="/Resistors/Part/Tolerance" xmlDataType="double"/>
    </tableColumn>
    <tableColumn id="8" xr3:uid="{429E7452-DB30-417B-B5E7-8F2AA238A5A4}" uniqueName="FootprintPath1" name="Footprint Path 1" dataDxfId="93">
      <xmlColumnPr mapId="38" xpath="/Resistors/Part/FootprintPath1" xmlDataType="string"/>
    </tableColumn>
    <tableColumn id="9" xr3:uid="{298A4272-57F5-45C2-AFCD-965909B2DD40}" uniqueName="FootprintRef1" name="Footprint Ref 1" dataDxfId="92">
      <xmlColumnPr mapId="38" xpath="/Resistors/Part/FootprintRef1" xmlDataType="string"/>
    </tableColumn>
    <tableColumn id="10" xr3:uid="{0DFE9A6B-806A-476A-90DD-58A133FB25CD}" uniqueName="10" name="Footprint Path 2" dataDxfId="91"/>
    <tableColumn id="11" xr3:uid="{5972F9B7-4E29-40F8-85A0-ADFB6C3B63D0}" uniqueName="11" name="Footprint Ref 2" dataDxfId="90"/>
    <tableColumn id="12" xr3:uid="{2BA89A40-2C66-4CDA-B275-A463CA193B24}" uniqueName="12" name="Footprint Path 3" dataDxfId="89"/>
    <tableColumn id="13" xr3:uid="{EB6CB4D4-35E1-4CE3-A4E3-74A449E2B85B}" uniqueName="13" name="Footprint Ref 3" dataDxfId="88"/>
    <tableColumn id="14" xr3:uid="{B126E269-CC34-4371-BF7F-84DF0C0ADEDC}" uniqueName="14" name="Datasheet" dataDxfId="87"/>
    <tableColumn id="15" xr3:uid="{155D5290-0F95-4C8C-856A-9074D435EEE5}" uniqueName="15" name="Автор" dataDxfId="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4" tableType="xml" totalsRowShown="0" dataDxfId="85" connectionId="12">
  <autoFilter ref="A1:L4" xr:uid="{A29CC993-9C97-4A73-9D5A-85F4F6169F0D}"/>
  <tableColumns count="12">
    <tableColumn id="1" xr3:uid="{E7E6BB90-3474-4E90-9662-90728792951F}" uniqueName="PartNumber" name="Part Number" dataDxfId="84">
      <xmlColumnPr mapId="84" xpath="/Rectifier_diodes/Part/PartNumber" xmlDataType="string"/>
    </tableColumn>
    <tableColumn id="2" xr3:uid="{98A92000-AA1B-456E-BA64-C1F29B956DE5}" uniqueName="Description" name="Description" dataDxfId="83">
      <xmlColumnPr mapId="84" xpath="/Rectifier_diodes/Part/Description" xmlDataType="string"/>
    </tableColumn>
    <tableColumn id="3" xr3:uid="{B4AB4090-17C1-4AE7-9CAE-97918340114E}" uniqueName="Comment" name="Comment" dataDxfId="82">
      <xmlColumnPr mapId="84" xpath="/Rectifier_diodes/Part/Comment" xmlDataType="string"/>
    </tableColumn>
    <tableColumn id="4" xr3:uid="{37B831E9-0546-4F3D-869B-DCA849A60D6D}" uniqueName="LibraryPath" name="Library Path" dataDxfId="81">
      <xmlColumnPr mapId="84" xpath="/Rectifier_diodes/Part/LibraryPath" xmlDataType="string"/>
    </tableColumn>
    <tableColumn id="5" xr3:uid="{D6CB281C-3F3F-4F98-A962-C06645057757}" uniqueName="LibraryRef" name="Library Ref" dataDxfId="80">
      <xmlColumnPr mapId="84" xpath="/Rectifier_diodes/Part/LibraryRef" xmlDataType="string"/>
    </tableColumn>
    <tableColumn id="6" xr3:uid="{A8BCEECB-ED11-4B88-BF6F-96CF63D897BC}" uniqueName="FootprintPath1" name="Footprint Path 1" dataDxfId="79">
      <xmlColumnPr mapId="84" xpath="/Rectifier_diodes/Part/FootprintPath1" xmlDataType="string"/>
    </tableColumn>
    <tableColumn id="7" xr3:uid="{7B9CD19C-2EC8-4C56-940C-1504C11DD55E}" uniqueName="FootprintRef1" name="Footprint Ref 1" dataDxfId="78">
      <xmlColumnPr mapId="84" xpath="/Rectifier_diodes/Part/FootprintRef1" xmlDataType="string"/>
    </tableColumn>
    <tableColumn id="8" xr3:uid="{1881FA4C-96EB-4255-BF42-6B45DFA2BB91}" uniqueName="RepetitivePeakReverseVoltage" name="Voltage (V)" dataDxfId="77">
      <xmlColumnPr mapId="84" xpath="/Rectifier_diodes/Part/RepetitivePeakReverseVoltage" xmlDataType="string"/>
    </tableColumn>
    <tableColumn id="9" xr3:uid="{EB5ACFA6-079B-4694-9B63-C1A08D4A6545}" uniqueName="Current" name="Current " dataDxfId="76">
      <xmlColumnPr mapId="84" xpath="/Rectifier_diodes/Part/Current" xmlDataType="string"/>
    </tableColumn>
    <tableColumn id="10" xr3:uid="{A56E2E46-8996-40FE-9125-8C74FA00102E}" uniqueName="Power" name="Power (W)" dataDxfId="75">
      <xmlColumnPr mapId="84" xpath="/Rectifier_diodes/Part/Power" xmlDataType="string"/>
    </tableColumn>
    <tableColumn id="14" xr3:uid="{97A2782D-2BBA-490A-A60F-15D84AFDCD53}" uniqueName="0" name="Datasheet" dataDxfId="74"/>
    <tableColumn id="11" xr3:uid="{7390A152-FDA2-4403-A974-D1880B2C3E97}" uniqueName="11" name="Автор" dataDxfId="7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72" dataDxfId="71" connectionId="1">
  <autoFilter ref="A1:V3" xr:uid="{1041C5C1-00FD-47DC-8B7C-9DEBE212D9D4}"/>
  <tableColumns count="22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  <tableColumn id="21" xr3:uid="{A4B57C00-6D54-4DAD-902D-06A5DE02018A}" uniqueName="21" name="Datasheet" dataDxfId="50"/>
    <tableColumn id="22" xr3:uid="{E32A5D7A-B096-4499-9FBD-9F4FD79F2DC2}" uniqueName="22" name="Автор" dataDxfId="4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2" tableType="xml" totalsRowShown="0" headerRowDxfId="48" headerRowBorderDxfId="47" tableBorderDxfId="46" connectionId="2">
  <autoFilter ref="A1:N52" xr:uid="{327E2CF9-785D-47F4-832A-C43F8CC576C1}"/>
  <tableColumns count="14">
    <tableColumn id="1" xr3:uid="{2D0493C6-3702-49E5-A0C3-4E2E8E195E17}" uniqueName="PartNumber" name="Part Number" dataDxfId="45">
      <xmlColumnPr mapId="43" xpath="/Capacitors_ceramic/Part/PartNumber" xmlDataType="string"/>
    </tableColumn>
    <tableColumn id="2" xr3:uid="{3FA58AD0-DEA9-402B-AF51-421884AC47BB}" uniqueName="Description" name="Description" dataDxfId="44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43">
      <xmlColumnPr mapId="43" xpath="/Capacitors_ceramic/Part/LibraryRef" xmlDataType="string"/>
    </tableColumn>
    <tableColumn id="4" xr3:uid="{EC600B45-0E9F-4512-A8BA-DAE1BBEF89DB}" uniqueName="LibraryPath" name="Library Path" dataDxfId="42">
      <xmlColumnPr mapId="43" xpath="/Capacitors_ceramic/Part/LibraryPath" xmlDataType="string"/>
    </tableColumn>
    <tableColumn id="7" xr3:uid="{825A321C-E6A0-4EAF-AEC4-F451D6437D35}" uniqueName="Tolerance" name="Library Ref" dataDxfId="41">
      <xmlColumnPr mapId="43" xpath="/Capacitors_ceramic/Part/Tolerance" xmlDataType="double"/>
    </tableColumn>
    <tableColumn id="8" xr3:uid="{6BBE44D9-FFC5-457D-8041-DAABC8C7BA50}" uniqueName="Voltage" name="Value" dataDxfId="40">
      <xmlColumnPr mapId="43" xpath="/Capacitors_ceramic/Part/Voltage" xmlDataType="integer"/>
    </tableColumn>
    <tableColumn id="9" xr3:uid="{40615D5C-FAC6-4DE7-AD52-985B05512BA6}" uniqueName="Dielectric" name="Tolerance" dataDxfId="39">
      <xmlColumnPr mapId="43" xpath="/Capacitors_ceramic/Part/Dielectric" xmlDataType="string"/>
    </tableColumn>
    <tableColumn id="10" xr3:uid="{A0E5BE7F-C8F6-4C6F-887E-2AC1E17340A3}" uniqueName="FootprintPath1" name="Voltage (V)" dataDxfId="38">
      <xmlColumnPr mapId="43" xpath="/Capacitors_ceramic/Part/FootprintPath1" xmlDataType="string"/>
    </tableColumn>
    <tableColumn id="11" xr3:uid="{1125B898-8A5A-4932-9E6A-70BE1D0B17C2}" uniqueName="FootprintRef1" name="Dielectric" dataDxfId="37">
      <xmlColumnPr mapId="43" xpath="/Capacitors_ceramic/Part/FootprintRef1" xmlDataType="string"/>
    </tableColumn>
    <tableColumn id="12" xr3:uid="{A0B20E33-F9DE-4128-B3C1-A5F5EF419A6A}" uniqueName="Capacity" name="Footprint Path 1" dataDxfId="36">
      <xmlColumnPr mapId="43" xpath="/Capacitors_ceramic/Part/Capacity" xmlDataType="double"/>
    </tableColumn>
    <tableColumn id="3" xr3:uid="{3CA4A3C4-175F-4D31-8C1D-DB8BDFEC6751}" uniqueName="3" name="Footprint Ref 1" dataDxfId="35"/>
    <tableColumn id="13" xr3:uid="{AC6DF023-DF8E-4431-956C-EF5B1E686C64}" uniqueName="13" name="Capacity (nF)" dataDxfId="34"/>
    <tableColumn id="14" xr3:uid="{F581E0EF-A6A3-43F4-9E9D-EE0565B490AB}" uniqueName="14" name="Datasheet" dataDxfId="33"/>
    <tableColumn id="6" xr3:uid="{6441484A-4B24-46D3-8427-885C43151488}" uniqueName="6" name="Автор" dataDxfId="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31" headerRowBorderDxfId="30" tableBorderDxfId="29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7" tableType="xml" totalsRowShown="0" headerRowDxfId="28" connectionId="9">
  <autoFilter ref="A1:R27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CF141" tableType="xml" totalsRowShown="0" headerRowDxfId="214" dataDxfId="213" connectionId="11">
  <autoFilter ref="A1:CF141" xr:uid="{071F457A-0F82-4CD6-80C4-65E86DBEF353}"/>
  <tableColumns count="84">
    <tableColumn id="1" xr3:uid="{AE9DCB61-0A9B-41D9-AC76-56D9ED6F9D71}" uniqueName="PartNumber" name="Part Number" dataDxfId="212">
      <xmlColumnPr mapId="73" xpath="/Other/Part/PartNumber" xmlDataType="string"/>
    </tableColumn>
    <tableColumn id="2" xr3:uid="{8662C04B-9C7C-48A2-ACC7-0FAAF1F41588}" uniqueName="Description" name="Description" dataDxfId="211">
      <xmlColumnPr mapId="73" xpath="/Other/Part/Description" xmlDataType="string"/>
    </tableColumn>
    <tableColumn id="3" xr3:uid="{7CF3CA75-1923-4F19-999C-14E1807BD3F5}" uniqueName="Comment" name="Comment" dataDxfId="210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209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208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207">
      <xmlColumnPr mapId="73" xpath="/Other/Part/FootprintPath1" xmlDataType="string"/>
    </tableColumn>
    <tableColumn id="7" xr3:uid="{78484622-732C-4ACF-9F43-B1AC2CDD73FA}" uniqueName="FootprintRef1" name="Footprint Ref 1" dataDxfId="206">
      <xmlColumnPr mapId="73" xpath="/Other/Part/FootprintRef1" xmlDataType="string"/>
    </tableColumn>
    <tableColumn id="8" xr3:uid="{9B1D9BE1-3884-44C5-88CA-6A2CCE154C24}" uniqueName="FootprintPath2" name="Footprint Path 2" dataDxfId="205">
      <xmlColumnPr mapId="73" xpath="/Other/Part/FootprintPath2" xmlDataType="string"/>
    </tableColumn>
    <tableColumn id="9" xr3:uid="{41DD9B28-B52E-42E2-980C-18F4A1B9EC96}" uniqueName="FootprintRef2" name="Footprint Ref 2" dataDxfId="204">
      <xmlColumnPr mapId="73" xpath="/Other/Part/FootprintRef2" xmlDataType="string"/>
    </tableColumn>
    <tableColumn id="10" xr3:uid="{93223D18-9C09-4B7B-8F23-E7B288A9B36F}" uniqueName="FootprintPath3" name="Footprint Path 3" dataDxfId="203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202">
      <xmlColumnPr mapId="73" xpath="/Other/Part/FootprintRef3" xmlDataType="string"/>
    </tableColumn>
    <tableColumn id="12" xr3:uid="{7C7EE8D3-0879-4E51-BE9D-9FFCF5159E00}" uniqueName="12" name="Footprint Path 4" dataDxfId="201">
      <calculatedColumnFormula>CONCATENATE("Footprints\",M2,".PcbLib")</calculatedColumnFormula>
    </tableColumn>
    <tableColumn id="13" xr3:uid="{C52E9A30-4E71-4BA8-BCEB-15C10C4A25CB}" uniqueName="13" name="Footprint Ref 4" dataDxfId="200"/>
    <tableColumn id="14" xr3:uid="{DF464249-2F59-4FAB-86C7-C3B8ACB81D99}" uniqueName="14" name="Footprint Path 5" dataDxfId="199"/>
    <tableColumn id="15" xr3:uid="{078A2BF1-2982-44EA-B14E-8AD36C6A8565}" uniqueName="15" name="Footprint Ref 5" dataDxfId="198"/>
    <tableColumn id="16" xr3:uid="{63FCD68C-47BF-4FDE-8472-6A537D68D453}" uniqueName="16" name="Footprint Path 6" dataDxfId="197"/>
    <tableColumn id="20" xr3:uid="{A7090D1C-DEA9-4C9F-A44A-A4B47365C81B}" uniqueName="20" name="Footprint Ref 6" dataDxfId="196"/>
    <tableColumn id="21" xr3:uid="{D983E51D-C043-4837-8C4C-1814C4A61A48}" uniqueName="21" name="Footprint Path 7" dataDxfId="195"/>
    <tableColumn id="22" xr3:uid="{81DF6C6E-234A-463D-99D6-08CD6376650B}" uniqueName="22" name="Footprint Ref 7" dataDxfId="194"/>
    <tableColumn id="23" xr3:uid="{DA2D6C71-9BDB-4B56-A8EE-54529D03CC61}" uniqueName="23" name="Footprint Path 8" dataDxfId="193"/>
    <tableColumn id="24" xr3:uid="{2D42AF07-A708-4C73-97C5-E5C93BE87E3C}" uniqueName="24" name="Footprint Ref 8" dataDxfId="192"/>
    <tableColumn id="25" xr3:uid="{C4DC52AC-2450-4814-8430-DBBF65BADE39}" uniqueName="25" name="Footprint Path 9" dataDxfId="191"/>
    <tableColumn id="26" xr3:uid="{DA470D44-FF4E-43E0-BA1B-B1A9AC706FE7}" uniqueName="26" name="Footprint Ref 9" dataDxfId="190"/>
    <tableColumn id="27" xr3:uid="{86CD938B-D120-4BDB-B4D2-2BD3D76F3DAB}" uniqueName="27" name="Footprint Path 10" dataDxfId="189"/>
    <tableColumn id="28" xr3:uid="{B09220DC-F867-458D-9088-D6EE730233F6}" uniqueName="28" name="Footprint Ref 10" dataDxfId="188"/>
    <tableColumn id="29" xr3:uid="{306AD2B5-EAC6-4CB7-AF8E-C4A7E82BE4F1}" uniqueName="29" name="Footprint Path 11" dataDxfId="187"/>
    <tableColumn id="30" xr3:uid="{10579870-CCC9-4592-8AA5-CCD4D7CDD2CE}" uniqueName="30" name="Footprint Ref 11" dataDxfId="186"/>
    <tableColumn id="31" xr3:uid="{2C2E5E6A-D11E-4ABA-9884-C7C1BB4AAE8A}" uniqueName="31" name="Footprint Path 12" dataDxfId="185"/>
    <tableColumn id="32" xr3:uid="{405ACADF-2CDB-4020-9FB3-250B5246F24D}" uniqueName="32" name="Footprint Ref 12" dataDxfId="184"/>
    <tableColumn id="33" xr3:uid="{49E1F44A-2DFB-4A61-8E51-3ABA6D8A44DC}" uniqueName="33" name="Footprint Path 13" dataDxfId="183"/>
    <tableColumn id="34" xr3:uid="{FD7F63E2-A5AC-4311-84C5-D20734417F74}" uniqueName="34" name="Footprint Ref 13" dataDxfId="182"/>
    <tableColumn id="35" xr3:uid="{A9DF0A99-F35F-42EE-A2C0-9C589C3055A9}" uniqueName="35" name="Footprint Path 14" dataDxfId="181"/>
    <tableColumn id="36" xr3:uid="{0AB109BF-86D9-4CB1-AB7E-A0FE83081A76}" uniqueName="36" name="Footprint Ref 14" dataDxfId="180"/>
    <tableColumn id="37" xr3:uid="{88D73E21-B5D3-4A72-BBFD-E1C6FD4358D6}" uniqueName="37" name="Footprint Path 15" dataDxfId="179"/>
    <tableColumn id="38" xr3:uid="{01E4F39A-AD8E-4205-8DD8-FEE4E0A6E116}" uniqueName="38" name="Footprint Ref 15" dataDxfId="178"/>
    <tableColumn id="39" xr3:uid="{B1523792-CC06-46CE-B38B-1F876F543FCD}" uniqueName="39" name="Footprint Path 16" dataDxfId="177"/>
    <tableColumn id="40" xr3:uid="{A21E2FC1-A3E5-4052-86C3-DACFA9B540B5}" uniqueName="40" name="Footprint Ref 16" dataDxfId="176"/>
    <tableColumn id="41" xr3:uid="{AE6AB0E1-C511-4B2A-BC87-FB8795DD456A}" uniqueName="41" name="Footprint Path 17" dataDxfId="175"/>
    <tableColumn id="42" xr3:uid="{6E73B24A-B699-41DE-A862-936E3793928C}" uniqueName="42" name="Footprint Ref 17" dataDxfId="174"/>
    <tableColumn id="43" xr3:uid="{7BC3D4B1-F466-43D3-8786-CB1501B54D4D}" uniqueName="43" name="Footprint Path 18" dataDxfId="173"/>
    <tableColumn id="44" xr3:uid="{8E611487-169C-4D83-82DD-7A35E37D2A19}" uniqueName="44" name="Footprint Ref 18" dataDxfId="172"/>
    <tableColumn id="45" xr3:uid="{C61E3942-0B8C-456D-AC4D-BC7AF1665278}" uniqueName="45" name="Footprint Path 19" dataDxfId="171"/>
    <tableColumn id="46" xr3:uid="{891B0AF8-C7F6-40A6-A7FD-EE6B4E450F5C}" uniqueName="46" name="Footprint Ref 19" dataDxfId="170"/>
    <tableColumn id="47" xr3:uid="{5A58B682-5843-4709-86B7-6CE8049B411C}" uniqueName="47" name="Footprint Path 20" dataDxfId="169"/>
    <tableColumn id="48" xr3:uid="{341E6FFC-4A92-40E6-BAE4-786712762837}" uniqueName="48" name="Footprint Ref 20" dataDxfId="168"/>
    <tableColumn id="49" xr3:uid="{13481A7A-D446-4B2C-A166-F7311C3ABC57}" uniqueName="49" name="Footprint Path 21" dataDxfId="167"/>
    <tableColumn id="50" xr3:uid="{3DC72C0D-53E2-42E2-B221-86073C4F5254}" uniqueName="50" name="Footprint Ref 21" dataDxfId="166"/>
    <tableColumn id="51" xr3:uid="{5E60497F-F789-453F-A3A1-A3E7C4159034}" uniqueName="51" name="Footprint Path 22" dataDxfId="165"/>
    <tableColumn id="52" xr3:uid="{618E38A9-1454-46A0-A623-7570FDAF80EE}" uniqueName="52" name="Footprint Ref 22" dataDxfId="164"/>
    <tableColumn id="53" xr3:uid="{A7A808F9-93AA-45FD-BF90-8D2B839C3854}" uniqueName="53" name="Footprint Path 23" dataDxfId="163"/>
    <tableColumn id="54" xr3:uid="{3E6695AE-FC66-460B-8B37-D9349DAB2B3A}" uniqueName="54" name="Footprint Ref 23" dataDxfId="162"/>
    <tableColumn id="55" xr3:uid="{A17AC3EF-DF06-4FDD-A647-CFA2DFB5F966}" uniqueName="55" name="Footprint Path 24" dataDxfId="161"/>
    <tableColumn id="56" xr3:uid="{64C50A79-C923-4581-AC38-F64D9459D2AF}" uniqueName="56" name="Footprint Ref 24" dataDxfId="160"/>
    <tableColumn id="57" xr3:uid="{B1B73A13-7988-422F-82A3-079ED73ADE1C}" uniqueName="57" name="Footprint Path 25" dataDxfId="159"/>
    <tableColumn id="58" xr3:uid="{F0EF419E-FBFF-4E8C-83BB-83F59DD817CE}" uniqueName="58" name="Footprint Ref 25" dataDxfId="158"/>
    <tableColumn id="59" xr3:uid="{BE0211C1-D3FD-49B0-87D3-314C69CBDE22}" uniqueName="59" name="Footprint Path 26" dataDxfId="157"/>
    <tableColumn id="60" xr3:uid="{736F9F6C-9581-4075-A030-CB5B5CA48F8A}" uniqueName="60" name="Footprint Ref 26" dataDxfId="156"/>
    <tableColumn id="61" xr3:uid="{81ABD809-940C-4C01-9B46-88D2B9ABACD3}" uniqueName="61" name="Footprint Path 27" dataDxfId="155"/>
    <tableColumn id="62" xr3:uid="{8EB9ABD5-3F04-49A2-97A3-42FFBF1FC997}" uniqueName="62" name="Footprint Ref 27" dataDxfId="154"/>
    <tableColumn id="63" xr3:uid="{9154F9A6-D525-4532-8307-0AC7E1958957}" uniqueName="63" name="Footprint Path 28" dataDxfId="153"/>
    <tableColumn id="64" xr3:uid="{B10AEC1A-DBB5-4551-858C-F0D08A18AE70}" uniqueName="64" name="Footprint Ref 28" dataDxfId="152"/>
    <tableColumn id="65" xr3:uid="{3FD3661F-75C2-4C16-8D8D-D52A13873ACB}" uniqueName="65" name="Footprint Path 29" dataDxfId="151"/>
    <tableColumn id="66" xr3:uid="{F04FC1DA-6026-4E65-ABA2-ECAB92E11568}" uniqueName="66" name="Footprint Ref 29" dataDxfId="150"/>
    <tableColumn id="67" xr3:uid="{5DC7593E-ED24-4BA3-A0E6-6CEC732E7D0E}" uniqueName="67" name="Footprint Path 30" dataDxfId="149"/>
    <tableColumn id="68" xr3:uid="{CA2BD84A-0113-408C-9D5E-FE22FAC14112}" uniqueName="68" name="Footprint Ref 30" dataDxfId="148"/>
    <tableColumn id="69" xr3:uid="{DEA49948-C91C-486E-A028-43BE2EEC4F91}" uniqueName="69" name="Footprint Path 31" dataDxfId="147"/>
    <tableColumn id="70" xr3:uid="{D34EDE32-14AB-48F4-A32A-5505F64A3044}" uniqueName="70" name="Footprint Ref 31" dataDxfId="146"/>
    <tableColumn id="71" xr3:uid="{95262206-0D46-4DCD-86E2-417F22FD137B}" uniqueName="71" name="Footprint Path 32" dataDxfId="145"/>
    <tableColumn id="72" xr3:uid="{83CF6B6C-FBA3-44A0-971F-9827356E8C25}" uniqueName="72" name="Footprint Ref 32" dataDxfId="144"/>
    <tableColumn id="73" xr3:uid="{84EF56F8-0FDA-4A94-AA5B-BBAF2A7BA9F1}" uniqueName="73" name="Footprint Path 33" dataDxfId="143"/>
    <tableColumn id="74" xr3:uid="{36E58B24-7F0A-43E0-A356-B6C8E8B229E8}" uniqueName="74" name="Footprint Ref 33" dataDxfId="142"/>
    <tableColumn id="75" xr3:uid="{F975F47D-23C9-4D1F-8140-EF2608368231}" uniqueName="75" name="Footprint Path 34" dataDxfId="141"/>
    <tableColumn id="76" xr3:uid="{1FCD1F58-0ADC-4548-A9AC-B0363CA4412F}" uniqueName="76" name="Footprint Ref 34" dataDxfId="140"/>
    <tableColumn id="77" xr3:uid="{03807BFF-9D64-4FB9-A95D-981D70447581}" uniqueName="77" name="Footprint Path 35" dataDxfId="139"/>
    <tableColumn id="78" xr3:uid="{4D212AF7-6FA5-455F-9BD3-E9E3CB678377}" uniqueName="78" name="Footprint Ref 35" dataDxfId="138"/>
    <tableColumn id="79" xr3:uid="{4EA9DD95-58B0-4AD9-B255-E2A55526A014}" uniqueName="79" name="Footprint Path 36" dataDxfId="137"/>
    <tableColumn id="80" xr3:uid="{EE3AACC1-42E9-4C0C-A050-58B7F1CD6C4B}" uniqueName="80" name="Footprint Ref 36" dataDxfId="136"/>
    <tableColumn id="81" xr3:uid="{E5F08ABA-DF66-43DC-A1B4-6939FE6A5DFB}" uniqueName="81" name="Footprint Path 37" dataDxfId="135"/>
    <tableColumn id="82" xr3:uid="{A1AE1480-647E-4046-9D29-DC862889183E}" uniqueName="82" name="Footprint Ref 37" dataDxfId="134"/>
    <tableColumn id="83" xr3:uid="{87294E2B-2496-403C-AF1E-5EF2A2DE52F5}" uniqueName="83" name="Footprint Path 38" dataDxfId="133"/>
    <tableColumn id="84" xr3:uid="{8B4FE378-F2CB-41F8-B8BE-CC1346022AE4}" uniqueName="84" name="Footprint Ref 38" dataDxfId="132"/>
    <tableColumn id="85" xr3:uid="{E7F440FE-6FC3-4AED-9D8A-F10B059FA97B}" uniqueName="85" name="Value" dataDxfId="131"/>
    <tableColumn id="86" xr3:uid="{15113963-E5BD-4E4A-81B3-F28AD2B4EF98}" uniqueName="86" name="Datasheet" dataDxfId="130"/>
    <tableColumn id="87" xr3:uid="{16D8AB8B-DBA6-4FA7-BEC5-3F2A772B0955}" uniqueName="87" name="Автор" dataDxfId="12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14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13">
      <xmlColumnPr mapId="81" xpath="/Thyristors/Part/LibraryPath" xmlDataType="string"/>
    </tableColumn>
    <tableColumn id="7" xr3:uid="{80B3F569-C3F5-47F7-8D7B-28E201DA2617}" uniqueName="LibraryRef" name="Library Ref" dataDxfId="12">
      <xmlColumnPr mapId="81" xpath="/Thyristors/Part/LibraryRef" xmlDataType="string"/>
    </tableColumn>
    <tableColumn id="8" xr3:uid="{89EB4D75-A298-4A70-95A0-C55A38516DD5}" uniqueName="FootprintPath1" name="Footprint Path 1" dataDxfId="11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10">
      <xmlColumnPr mapId="81" xpath="/Thyristors/Part/FootprintRef1" xmlDataType="string"/>
    </tableColumn>
    <tableColumn id="10" xr3:uid="{9EE91FEA-9669-439B-8C30-DE7C5C8EDEAC}" uniqueName="FootprintPath2" name="Footprint Path 2" dataDxfId="9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8">
      <xmlColumnPr mapId="81" xpath="/Thyristors/Part/FootprintRef2" xmlDataType="string"/>
    </tableColumn>
    <tableColumn id="12" xr3:uid="{FBA8999D-4F5F-4375-B94D-80D73962B6E9}" uniqueName="Voltage" name="Voltage (V)" dataDxfId="7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6">
      <xmlColumnPr mapId="81" xpath="/Thyristors/Part/Current" xmlDataType="string"/>
    </tableColumn>
    <tableColumn id="14" xr3:uid="{DB8175AF-F0C6-47C1-8F0E-9BE83B53E316}" uniqueName="Power" name="Datasheet" dataDxfId="5">
      <calculatedColumnFormula>CONCATENATE("Footprints\Inductance\",M2,".PcbLib")</calculatedColumnFormula>
    </tableColumn>
    <tableColumn id="4" xr3:uid="{D9995BFB-85DE-45BC-8357-32D82CDF7ADB}" uniqueName="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7" tableType="xml" totalsRowShown="0" headerRowDxfId="3" connectionId="7">
  <autoFilter ref="A1:L67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dn.promelec.ru/upload/items/2023/10/13/NSi8100NC_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7"/>
  <sheetViews>
    <sheetView zoomScale="85" zoomScaleNormal="85" workbookViewId="0">
      <selection activeCell="A11" sqref="A11"/>
    </sheetView>
  </sheetViews>
  <sheetFormatPr defaultRowHeight="14.5" x14ac:dyDescent="0.35"/>
  <cols>
    <col min="1" max="1" width="21.453125" bestFit="1" customWidth="1"/>
    <col min="2" max="2" width="103.3632812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36328125" bestFit="1" customWidth="1"/>
    <col min="7" max="7" width="21.453125" bestFit="1" customWidth="1"/>
    <col min="8" max="8" width="22.6328125" bestFit="1" customWidth="1"/>
    <col min="9" max="9" width="18.36328125" bestFit="1" customWidth="1"/>
    <col min="10" max="10" width="16.453125" customWidth="1"/>
    <col min="11" max="11" width="14.54296875" customWidth="1"/>
    <col min="12" max="12" width="13.3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955</v>
      </c>
      <c r="M1" s="1" t="s">
        <v>1422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797</v>
      </c>
      <c r="I8" t="s">
        <v>796</v>
      </c>
      <c r="J8" t="s">
        <v>797</v>
      </c>
      <c r="K8" t="s">
        <v>863</v>
      </c>
      <c r="M8" t="s">
        <v>1423</v>
      </c>
    </row>
    <row r="9" spans="1:20" x14ac:dyDescent="0.3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1423</v>
      </c>
    </row>
    <row r="12" spans="1:20" x14ac:dyDescent="0.3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938</v>
      </c>
      <c r="M12" t="s">
        <v>1423</v>
      </c>
    </row>
    <row r="13" spans="1:20" x14ac:dyDescent="0.3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1423</v>
      </c>
    </row>
    <row r="14" spans="1:20" x14ac:dyDescent="0.35">
      <c r="A14" t="s">
        <v>327</v>
      </c>
      <c r="B14" t="s">
        <v>1516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1423</v>
      </c>
    </row>
    <row r="15" spans="1:20" x14ac:dyDescent="0.35">
      <c r="A15" t="s">
        <v>669</v>
      </c>
      <c r="B15" t="s">
        <v>670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1423</v>
      </c>
    </row>
    <row r="16" spans="1:20" x14ac:dyDescent="0.35">
      <c r="A16" t="s">
        <v>671</v>
      </c>
      <c r="B16" t="s">
        <v>672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673</v>
      </c>
      <c r="M16" t="s">
        <v>1423</v>
      </c>
    </row>
    <row r="17" spans="1:13" x14ac:dyDescent="0.35">
      <c r="A17" t="s">
        <v>674</v>
      </c>
      <c r="B17" t="s">
        <v>675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1423</v>
      </c>
    </row>
    <row r="18" spans="1:13" x14ac:dyDescent="0.35">
      <c r="A18" t="s">
        <v>695</v>
      </c>
      <c r="B18" t="s">
        <v>696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695</v>
      </c>
      <c r="M18" t="s">
        <v>1423</v>
      </c>
    </row>
    <row r="19" spans="1:13" x14ac:dyDescent="0.35">
      <c r="A19" t="s">
        <v>697</v>
      </c>
      <c r="B19" t="s">
        <v>698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699</v>
      </c>
      <c r="M19" t="s">
        <v>1423</v>
      </c>
    </row>
    <row r="20" spans="1:13" x14ac:dyDescent="0.35">
      <c r="A20" s="12" t="s">
        <v>700</v>
      </c>
      <c r="B20" t="s">
        <v>701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702</v>
      </c>
      <c r="M20" t="s">
        <v>1423</v>
      </c>
    </row>
    <row r="21" spans="1:13" x14ac:dyDescent="0.35">
      <c r="A21" t="s">
        <v>710</v>
      </c>
      <c r="B21" t="s">
        <v>711</v>
      </c>
      <c r="C21" s="2" t="s">
        <v>710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689</v>
      </c>
      <c r="M21" t="s">
        <v>1423</v>
      </c>
    </row>
    <row r="22" spans="1:13" x14ac:dyDescent="0.35">
      <c r="A22" t="s">
        <v>724</v>
      </c>
      <c r="B22" t="s">
        <v>725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723</v>
      </c>
      <c r="M22" t="s">
        <v>1423</v>
      </c>
    </row>
    <row r="23" spans="1:13" x14ac:dyDescent="0.35">
      <c r="A23" t="s">
        <v>728</v>
      </c>
      <c r="B23" t="s">
        <v>729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728</v>
      </c>
      <c r="M23" t="s">
        <v>1423</v>
      </c>
    </row>
    <row r="24" spans="1:13" x14ac:dyDescent="0.35">
      <c r="A24" t="s">
        <v>745</v>
      </c>
      <c r="B24" t="s">
        <v>747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1423</v>
      </c>
    </row>
    <row r="25" spans="1:13" x14ac:dyDescent="0.35">
      <c r="A25" t="s">
        <v>746</v>
      </c>
      <c r="B25" t="s">
        <v>748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1423</v>
      </c>
    </row>
    <row r="26" spans="1:13" x14ac:dyDescent="0.35">
      <c r="A26" t="s">
        <v>749</v>
      </c>
      <c r="B26" t="s">
        <v>750</v>
      </c>
      <c r="C26" s="2" t="s">
        <v>749</v>
      </c>
      <c r="D26" t="s">
        <v>751</v>
      </c>
      <c r="E26" t="s">
        <v>749</v>
      </c>
      <c r="F26" t="s">
        <v>752</v>
      </c>
      <c r="G26" t="s">
        <v>371</v>
      </c>
      <c r="M26" t="s">
        <v>1423</v>
      </c>
    </row>
    <row r="27" spans="1:13" x14ac:dyDescent="0.35">
      <c r="A27" t="s">
        <v>774</v>
      </c>
      <c r="B27" t="s">
        <v>775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1423</v>
      </c>
    </row>
    <row r="28" spans="1:13" x14ac:dyDescent="0.35">
      <c r="A28" t="s">
        <v>792</v>
      </c>
      <c r="B28" t="s">
        <v>793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795</v>
      </c>
      <c r="G28" t="s">
        <v>794</v>
      </c>
      <c r="H28" t="s">
        <v>795</v>
      </c>
      <c r="I28" t="s">
        <v>862</v>
      </c>
      <c r="M28" t="s">
        <v>1423</v>
      </c>
    </row>
    <row r="29" spans="1:13" x14ac:dyDescent="0.35">
      <c r="A29" t="s">
        <v>848</v>
      </c>
      <c r="B29" t="s">
        <v>849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848</v>
      </c>
    </row>
    <row r="30" spans="1:13" x14ac:dyDescent="0.35">
      <c r="A30" t="s">
        <v>850</v>
      </c>
      <c r="B30" t="s">
        <v>877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850</v>
      </c>
    </row>
    <row r="31" spans="1:13" x14ac:dyDescent="0.35">
      <c r="A31" t="s">
        <v>851</v>
      </c>
      <c r="B31" t="s">
        <v>876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852</v>
      </c>
    </row>
    <row r="32" spans="1:13" x14ac:dyDescent="0.35">
      <c r="A32" t="s">
        <v>872</v>
      </c>
      <c r="B32" t="s">
        <v>873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1423</v>
      </c>
    </row>
    <row r="33" spans="1:13" x14ac:dyDescent="0.35">
      <c r="A33" t="s">
        <v>874</v>
      </c>
      <c r="B33" t="s">
        <v>875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1423</v>
      </c>
    </row>
    <row r="34" spans="1:13" x14ac:dyDescent="0.35">
      <c r="A34" t="s">
        <v>891</v>
      </c>
      <c r="B34" t="s">
        <v>892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689</v>
      </c>
      <c r="M34" t="s">
        <v>1423</v>
      </c>
    </row>
    <row r="35" spans="1:13" x14ac:dyDescent="0.35">
      <c r="A35" t="s">
        <v>895</v>
      </c>
      <c r="B35" t="s">
        <v>893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894</v>
      </c>
      <c r="M35" t="s">
        <v>1423</v>
      </c>
    </row>
    <row r="36" spans="1:13" x14ac:dyDescent="0.35">
      <c r="A36" t="s">
        <v>902</v>
      </c>
      <c r="B36" t="s">
        <v>903</v>
      </c>
      <c r="C36" s="2" t="str">
        <f>A36</f>
        <v>LTV354T</v>
      </c>
      <c r="D36" t="str">
        <f>CONCATENATE("Schematic\",E36,".SchLib")</f>
        <v>Schematic\LTV354.SchLib</v>
      </c>
      <c r="E36" t="s">
        <v>901</v>
      </c>
      <c r="F36" t="str">
        <f>CONCATENATE("Footprints\",G36,".PcbLib")</f>
        <v>Footprints\SOP4-2_54.PcbLib</v>
      </c>
      <c r="G36" t="s">
        <v>904</v>
      </c>
      <c r="M36" t="s">
        <v>1423</v>
      </c>
    </row>
    <row r="37" spans="1:13" x14ac:dyDescent="0.35">
      <c r="A37" t="s">
        <v>937</v>
      </c>
      <c r="B37" t="s">
        <v>936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938</v>
      </c>
    </row>
    <row r="38" spans="1:13" x14ac:dyDescent="0.3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5">
      <c r="A44" s="32" t="s">
        <v>1119</v>
      </c>
      <c r="B44" s="33" t="s">
        <v>1120</v>
      </c>
      <c r="C44" s="27" t="str">
        <f t="shared" ref="C44:C49" si="18">A44</f>
        <v>IXDN602</v>
      </c>
      <c r="D44" s="33" t="str">
        <f>CONCATENATE("Schematic\",A44,".SchLib")</f>
        <v>Schematic\IXDN602.SchLib</v>
      </c>
      <c r="E44" s="33" t="str">
        <f>A44</f>
        <v>IXDN602</v>
      </c>
      <c r="F44" s="33" t="str">
        <f t="shared" si="17"/>
        <v>Footprints\SOIC-8.PcbLib</v>
      </c>
      <c r="G44" s="33" t="s">
        <v>76</v>
      </c>
    </row>
    <row r="45" spans="1:13" x14ac:dyDescent="0.3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5">
      <c r="A46" s="34" t="s">
        <v>1123</v>
      </c>
      <c r="B46" s="35" t="s">
        <v>1124</v>
      </c>
      <c r="C46" s="36" t="str">
        <f t="shared" si="18"/>
        <v>MC3306A</v>
      </c>
      <c r="D46" s="35" t="str">
        <f>CONCATENATE("Schematic\",A46,".SchLib")</f>
        <v>Schematic\MC3306A.SchLib</v>
      </c>
      <c r="E46" s="35" t="str">
        <f>A46</f>
        <v>MC3306A</v>
      </c>
      <c r="F46" s="35" t="str">
        <f t="shared" si="17"/>
        <v>Footprints\SOIC-8.PcbLib</v>
      </c>
      <c r="G46" s="35" t="s">
        <v>76</v>
      </c>
    </row>
    <row r="47" spans="1:13" x14ac:dyDescent="0.3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1607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1423</v>
      </c>
    </row>
    <row r="48" spans="1:13" x14ac:dyDescent="0.35">
      <c r="A48" s="34" t="s">
        <v>1166</v>
      </c>
      <c r="B48" s="35" t="s">
        <v>1167</v>
      </c>
      <c r="C48" s="36" t="str">
        <f t="shared" si="18"/>
        <v>TS951ILT</v>
      </c>
      <c r="D48" s="35" t="str">
        <f t="shared" ref="D48:D53" si="19">CONCATENATE("Schematic\",A48,".SchLib")</f>
        <v>Schematic\TS951ILT.SchLib</v>
      </c>
      <c r="E48" s="35" t="str">
        <f t="shared" ref="E48:E53" si="20">A48</f>
        <v>TS951ILT</v>
      </c>
      <c r="F48" s="35" t="str">
        <f t="shared" si="17"/>
        <v>Footprints\SOT23-5.PcbLib</v>
      </c>
      <c r="G48" s="35" t="s">
        <v>1376</v>
      </c>
      <c r="M48" t="s">
        <v>1447</v>
      </c>
    </row>
    <row r="49" spans="1:13" x14ac:dyDescent="0.3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5">
      <c r="A50" t="s">
        <v>1374</v>
      </c>
      <c r="B50" t="s">
        <v>793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1447</v>
      </c>
    </row>
    <row r="51" spans="1:13" x14ac:dyDescent="0.3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5">
      <c r="A52" s="34" t="s">
        <v>1501</v>
      </c>
      <c r="B52" s="35" t="s">
        <v>1502</v>
      </c>
      <c r="C52" s="36" t="str">
        <f t="shared" si="21"/>
        <v>IRS21867</v>
      </c>
      <c r="D52" s="35" t="str">
        <f t="shared" si="19"/>
        <v>Schematic\IRS21867.SchLib</v>
      </c>
      <c r="E52" s="35" t="str">
        <f t="shared" si="20"/>
        <v>IRS21867</v>
      </c>
      <c r="F52" s="35" t="str">
        <f t="shared" ref="F52" si="22">CONCATENATE("Footprints\",G52,".PcbLib")</f>
        <v>Footprints\SOIC-8.PcbLib</v>
      </c>
      <c r="G52" s="35" t="s">
        <v>76</v>
      </c>
      <c r="L52" s="51" t="s">
        <v>1503</v>
      </c>
      <c r="M52" t="s">
        <v>1447</v>
      </c>
    </row>
    <row r="53" spans="1:13" x14ac:dyDescent="0.35">
      <c r="A53" t="s">
        <v>1509</v>
      </c>
      <c r="B53" t="s">
        <v>1510</v>
      </c>
      <c r="C53" s="2" t="str">
        <f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1509</v>
      </c>
      <c r="L53" t="s">
        <v>1511</v>
      </c>
      <c r="M53" t="s">
        <v>1423</v>
      </c>
    </row>
    <row r="54" spans="1:13" x14ac:dyDescent="0.35">
      <c r="A54" t="s">
        <v>1517</v>
      </c>
      <c r="B54" t="s">
        <v>1520</v>
      </c>
      <c r="C54" s="2" t="str">
        <f>A54</f>
        <v>ST1S40IPUR</v>
      </c>
      <c r="D54" t="str">
        <f>CONCATENATE("Schematic\",A54,".SchLib")</f>
        <v>Schematic\ST1S40IPUR.SchLib</v>
      </c>
      <c r="E54" t="str">
        <f>A54</f>
        <v>ST1S40IPUR</v>
      </c>
      <c r="F54" t="str">
        <f>CONCATENATE("Footprints\",G54,".PcbLib")</f>
        <v>Footprints\VFQFPN8-4X4.PcbLib</v>
      </c>
      <c r="G54" t="s">
        <v>1518</v>
      </c>
      <c r="L54" s="37" t="s">
        <v>1519</v>
      </c>
      <c r="M54" t="s">
        <v>1423</v>
      </c>
    </row>
    <row r="55" spans="1:13" x14ac:dyDescent="0.35">
      <c r="A55" t="s">
        <v>1569</v>
      </c>
      <c r="B55" t="s">
        <v>1570</v>
      </c>
      <c r="C55" s="2" t="str">
        <f>A55</f>
        <v>MT9700</v>
      </c>
      <c r="D55" t="str">
        <f>CONCATENATE("Schematic\",A55,".SchLib")</f>
        <v>Schematic\MT9700.SchLib</v>
      </c>
      <c r="E55" t="str">
        <f>A55</f>
        <v>MT9700</v>
      </c>
      <c r="F55" t="str">
        <f>CONCATENATE("Footprints\",G55,".PcbLib")</f>
        <v>Footprints\SOT23-5.PcbLib</v>
      </c>
      <c r="G55" t="s">
        <v>1376</v>
      </c>
      <c r="L55" t="s">
        <v>1568</v>
      </c>
      <c r="M55" t="s">
        <v>1423</v>
      </c>
    </row>
    <row r="56" spans="1:13" x14ac:dyDescent="0.35">
      <c r="A56" t="s">
        <v>1579</v>
      </c>
      <c r="B56" t="s">
        <v>1576</v>
      </c>
      <c r="C56" s="2" t="str">
        <f>A56</f>
        <v>NSi8100NC</v>
      </c>
      <c r="D56" t="str">
        <f>CONCATENATE("Schematic\",A56,".SchLib")</f>
        <v>Schematic\NSi8100NC.SchLib</v>
      </c>
      <c r="E56" t="str">
        <f>A56</f>
        <v>NSi8100NC</v>
      </c>
      <c r="F56" t="str">
        <f>CONCATENATE("Footprints\",G56,".PcbLib")</f>
        <v>Footprints\SOIC-8.PcbLib</v>
      </c>
      <c r="G56" s="2" t="s">
        <v>76</v>
      </c>
      <c r="L56" s="37" t="s">
        <v>1577</v>
      </c>
      <c r="M56" t="s">
        <v>1578</v>
      </c>
    </row>
    <row r="57" spans="1:13" x14ac:dyDescent="0.35">
      <c r="C57" s="2"/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</hyperlinks>
  <pageMargins left="0.7" right="0.7" top="0.75" bottom="0.75" header="0.3" footer="0.3"/>
  <pageSetup paperSize="9" orientation="portrait"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36328125" customWidth="1"/>
    <col min="4" max="4" width="31.36328125" bestFit="1" customWidth="1"/>
    <col min="5" max="5" width="14.6328125" bestFit="1" customWidth="1"/>
    <col min="6" max="6" width="25.36328125" bestFit="1" customWidth="1"/>
    <col min="7" max="7" width="16.54296875" bestFit="1" customWidth="1"/>
    <col min="8" max="8" width="12.6328125" customWidth="1"/>
    <col min="9" max="9" width="12.36328125" style="18" customWidth="1"/>
    <col min="10" max="10" width="13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1455</v>
      </c>
      <c r="J1" t="s">
        <v>955</v>
      </c>
      <c r="K1" t="s">
        <v>1422</v>
      </c>
    </row>
    <row r="2" spans="1:11" x14ac:dyDescent="0.3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1457</v>
      </c>
      <c r="K2" t="s">
        <v>1447</v>
      </c>
    </row>
    <row r="3" spans="1:11" x14ac:dyDescent="0.35">
      <c r="A3" s="2" t="s">
        <v>691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1457</v>
      </c>
      <c r="K3" t="s">
        <v>1447</v>
      </c>
    </row>
    <row r="4" spans="1:11" x14ac:dyDescent="0.3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1462</v>
      </c>
    </row>
    <row r="5" spans="1:11" x14ac:dyDescent="0.3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1461</v>
      </c>
      <c r="K5" t="s">
        <v>1423</v>
      </c>
    </row>
    <row r="6" spans="1:11" x14ac:dyDescent="0.35">
      <c r="A6" t="s">
        <v>706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935</v>
      </c>
      <c r="K6" t="s">
        <v>1423</v>
      </c>
    </row>
    <row r="7" spans="1:11" x14ac:dyDescent="0.35">
      <c r="A7" t="s">
        <v>778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1460</v>
      </c>
    </row>
    <row r="8" spans="1:11" x14ac:dyDescent="0.35">
      <c r="A8" t="s">
        <v>853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855</v>
      </c>
      <c r="E8" t="s">
        <v>853</v>
      </c>
      <c r="F8" t="str">
        <f>CONCATENATE("Footprints\",G8,".PcbLib")</f>
        <v>Footprints\SOT23.PcbLib</v>
      </c>
      <c r="G8" t="s">
        <v>854</v>
      </c>
      <c r="H8" s="15">
        <v>70</v>
      </c>
      <c r="I8" s="18" t="s">
        <v>1459</v>
      </c>
    </row>
    <row r="9" spans="1:11" x14ac:dyDescent="0.35">
      <c r="A9" t="s">
        <v>864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1458</v>
      </c>
      <c r="K9" t="s">
        <v>1447</v>
      </c>
    </row>
    <row r="10" spans="1:11" x14ac:dyDescent="0.35">
      <c r="A10" t="s">
        <v>865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1458</v>
      </c>
      <c r="K10" t="s">
        <v>1447</v>
      </c>
    </row>
    <row r="11" spans="1:11" x14ac:dyDescent="0.35">
      <c r="A11" t="s">
        <v>868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1458</v>
      </c>
    </row>
    <row r="12" spans="1:11" x14ac:dyDescent="0.3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5" x14ac:dyDescent="0.35"/>
  <cols>
    <col min="1" max="1" width="13.6328125" bestFit="1" customWidth="1"/>
    <col min="2" max="2" width="46.63281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6328125" bestFit="1" customWidth="1"/>
    <col min="8" max="8" width="19.6328125" bestFit="1" customWidth="1"/>
    <col min="9" max="9" width="21.54296875" bestFit="1" customWidth="1"/>
    <col min="10" max="10" width="12" bestFit="1" customWidth="1"/>
    <col min="11" max="11" width="7.6328125" bestFit="1" customWidth="1"/>
    <col min="12" max="12" width="10.6328125" customWidth="1"/>
    <col min="13" max="13" width="15.3632812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1455</v>
      </c>
      <c r="J1" t="s">
        <v>69</v>
      </c>
      <c r="K1" t="s">
        <v>25</v>
      </c>
      <c r="L1" t="s">
        <v>889</v>
      </c>
      <c r="M1" t="s">
        <v>955</v>
      </c>
      <c r="N1" t="s">
        <v>1422</v>
      </c>
    </row>
    <row r="2" spans="1:14" ht="13.25" customHeight="1" x14ac:dyDescent="0.35">
      <c r="A2" s="2" t="s">
        <v>68</v>
      </c>
      <c r="B2" s="2" t="s">
        <v>601</v>
      </c>
      <c r="C2" s="2" t="s">
        <v>68</v>
      </c>
      <c r="D2" s="2" t="s">
        <v>71</v>
      </c>
      <c r="E2" s="2" t="s">
        <v>72</v>
      </c>
      <c r="F2" s="2" t="s">
        <v>602</v>
      </c>
      <c r="G2" s="2" t="s">
        <v>70</v>
      </c>
      <c r="H2" s="2" t="s">
        <v>381</v>
      </c>
      <c r="I2" s="2" t="s">
        <v>1456</v>
      </c>
      <c r="J2" s="2" t="s">
        <v>603</v>
      </c>
      <c r="K2" s="2" t="s">
        <v>604</v>
      </c>
      <c r="L2" s="11">
        <v>0.05</v>
      </c>
    </row>
    <row r="3" spans="1:14" x14ac:dyDescent="0.35">
      <c r="A3" t="s">
        <v>758</v>
      </c>
      <c r="B3" s="2" t="s">
        <v>759</v>
      </c>
      <c r="C3" t="s">
        <v>758</v>
      </c>
      <c r="D3" s="2" t="s">
        <v>71</v>
      </c>
      <c r="E3" s="2" t="s">
        <v>72</v>
      </c>
      <c r="F3" s="2" t="s">
        <v>760</v>
      </c>
      <c r="G3" t="s">
        <v>761</v>
      </c>
      <c r="H3" s="2" t="s">
        <v>762</v>
      </c>
      <c r="I3" s="2" t="s">
        <v>1456</v>
      </c>
      <c r="J3" s="2" t="s">
        <v>886</v>
      </c>
      <c r="K3" s="2" t="s">
        <v>763</v>
      </c>
      <c r="L3" s="11">
        <v>0.02</v>
      </c>
      <c r="N3" t="s">
        <v>1423</v>
      </c>
    </row>
    <row r="4" spans="1:14" x14ac:dyDescent="0.35">
      <c r="A4" t="s">
        <v>882</v>
      </c>
      <c r="B4" s="2" t="s">
        <v>883</v>
      </c>
      <c r="C4" t="s">
        <v>882</v>
      </c>
      <c r="D4" s="2" t="s">
        <v>884</v>
      </c>
      <c r="E4" t="s">
        <v>885</v>
      </c>
      <c r="F4" s="2" t="s">
        <v>890</v>
      </c>
      <c r="G4" t="s">
        <v>18</v>
      </c>
      <c r="H4" s="2" t="s">
        <v>380</v>
      </c>
      <c r="I4" s="2" t="s">
        <v>1456</v>
      </c>
      <c r="J4" s="2" t="s">
        <v>887</v>
      </c>
      <c r="K4" s="2" t="s">
        <v>888</v>
      </c>
      <c r="L4" s="11">
        <v>0.02</v>
      </c>
      <c r="N4" t="s">
        <v>1423</v>
      </c>
    </row>
    <row r="5" spans="1:14" x14ac:dyDescent="0.35">
      <c r="A5" t="s">
        <v>940</v>
      </c>
      <c r="B5" t="s">
        <v>939</v>
      </c>
      <c r="C5" t="s">
        <v>940</v>
      </c>
      <c r="D5" s="2" t="s">
        <v>71</v>
      </c>
      <c r="E5" s="2" t="s">
        <v>72</v>
      </c>
      <c r="F5" s="2" t="s">
        <v>760</v>
      </c>
      <c r="G5" t="s">
        <v>761</v>
      </c>
      <c r="H5" s="2" t="s">
        <v>381</v>
      </c>
      <c r="I5" s="2" t="s">
        <v>1456</v>
      </c>
      <c r="J5" s="2" t="s">
        <v>886</v>
      </c>
      <c r="K5" s="2" t="s">
        <v>604</v>
      </c>
      <c r="L5" s="11">
        <v>0.02</v>
      </c>
      <c r="N5" t="s">
        <v>1423</v>
      </c>
    </row>
    <row r="6" spans="1:14" x14ac:dyDescent="0.35">
      <c r="A6" t="s">
        <v>1419</v>
      </c>
      <c r="B6" t="s">
        <v>1425</v>
      </c>
      <c r="C6" t="s">
        <v>1419</v>
      </c>
      <c r="D6" s="2" t="s">
        <v>71</v>
      </c>
      <c r="E6" s="2" t="s">
        <v>72</v>
      </c>
      <c r="F6" s="2" t="s">
        <v>760</v>
      </c>
      <c r="G6" t="s">
        <v>761</v>
      </c>
      <c r="H6" s="2" t="s">
        <v>379</v>
      </c>
      <c r="I6" s="2" t="s">
        <v>1456</v>
      </c>
      <c r="J6" s="2" t="s">
        <v>886</v>
      </c>
      <c r="K6" s="2" t="s">
        <v>1420</v>
      </c>
      <c r="L6" s="11">
        <v>0.02</v>
      </c>
      <c r="M6" t="s">
        <v>1421</v>
      </c>
      <c r="N6" t="s">
        <v>1423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5" x14ac:dyDescent="0.35"/>
  <cols>
    <col min="1" max="1" width="20.453125" customWidth="1"/>
    <col min="2" max="2" width="53.6328125" customWidth="1"/>
    <col min="3" max="3" width="15.6328125" customWidth="1"/>
    <col min="4" max="4" width="26.453125" customWidth="1"/>
    <col min="5" max="5" width="11.6328125" customWidth="1"/>
    <col min="6" max="6" width="16.453125" customWidth="1"/>
    <col min="7" max="7" width="15.453125" customWidth="1"/>
    <col min="8" max="8" width="12.54296875" customWidth="1"/>
    <col min="9" max="9" width="11.6328125" customWidth="1"/>
    <col min="10" max="10" width="8" bestFit="1" customWidth="1"/>
    <col min="11" max="11" width="10.453125" customWidth="1"/>
    <col min="12" max="12" width="13.3632812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955</v>
      </c>
      <c r="M1" t="s">
        <v>1422</v>
      </c>
    </row>
    <row r="2" spans="1:13" x14ac:dyDescent="0.3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5">
      <c r="A6" t="s">
        <v>676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677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5">
      <c r="A7" t="s">
        <v>740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5">
      <c r="A8" t="s">
        <v>757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5">
      <c r="A9" t="s">
        <v>913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677</v>
      </c>
      <c r="H11">
        <v>3.3</v>
      </c>
      <c r="I11">
        <v>45</v>
      </c>
      <c r="J11" t="str">
        <f xml:space="preserve"> CONCATENATE(H11," В")</f>
        <v>3,3 В</v>
      </c>
      <c r="M11" t="s">
        <v>1447</v>
      </c>
    </row>
    <row r="12" spans="1:13" x14ac:dyDescent="0.35">
      <c r="A12" t="s">
        <v>1429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1447</v>
      </c>
    </row>
    <row r="13" spans="1:13" x14ac:dyDescent="0.35">
      <c r="A13" t="s">
        <v>1508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5" x14ac:dyDescent="0.35"/>
  <cols>
    <col min="1" max="1" width="14.6328125" customWidth="1"/>
    <col min="2" max="2" width="93.36328125" customWidth="1"/>
    <col min="3" max="3" width="12.453125" bestFit="1" customWidth="1"/>
    <col min="4" max="4" width="35.6328125" bestFit="1" customWidth="1"/>
    <col min="5" max="5" width="24.453125" bestFit="1" customWidth="1"/>
    <col min="6" max="6" width="23.36328125" bestFit="1" customWidth="1"/>
    <col min="7" max="7" width="16.6328125" customWidth="1"/>
    <col min="8" max="8" width="29.6328125" bestFit="1" customWidth="1"/>
    <col min="9" max="9" width="16.6328125" customWidth="1"/>
    <col min="12" max="12" width="13.63281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955</v>
      </c>
      <c r="M1" s="1" t="s">
        <v>1422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910</v>
      </c>
      <c r="K2" t="s">
        <v>911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770</v>
      </c>
      <c r="K3" t="s">
        <v>912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663</v>
      </c>
      <c r="B7" s="3" t="s">
        <v>21</v>
      </c>
      <c r="C7" s="2" t="str">
        <f t="shared" si="0"/>
        <v>AO4411</v>
      </c>
      <c r="D7" s="3" t="s">
        <v>664</v>
      </c>
      <c r="E7" s="3" t="s">
        <v>665</v>
      </c>
      <c r="F7" t="str">
        <f t="shared" si="1"/>
        <v>Footprints\SOIC-8.PcbLib</v>
      </c>
      <c r="G7" s="1" t="s">
        <v>76</v>
      </c>
      <c r="H7" s="2"/>
      <c r="M7" t="s">
        <v>1447</v>
      </c>
    </row>
    <row r="8" spans="1:19" ht="15.5" x14ac:dyDescent="0.35">
      <c r="A8" s="1" t="s">
        <v>666</v>
      </c>
      <c r="B8" s="1" t="s">
        <v>667</v>
      </c>
      <c r="C8" s="2" t="str">
        <f t="shared" ref="C8:C13" si="2">A8</f>
        <v>AO4812</v>
      </c>
      <c r="D8" s="3" t="s">
        <v>668</v>
      </c>
      <c r="E8" s="1" t="s">
        <v>666</v>
      </c>
      <c r="F8" t="str">
        <f t="shared" si="1"/>
        <v>Footprints\SOP8.PcbLib</v>
      </c>
      <c r="G8" s="1" t="s">
        <v>689</v>
      </c>
      <c r="J8" t="s">
        <v>770</v>
      </c>
      <c r="K8" t="s">
        <v>771</v>
      </c>
      <c r="M8" t="s">
        <v>1423</v>
      </c>
    </row>
    <row r="9" spans="1:19" ht="15.5" x14ac:dyDescent="0.35">
      <c r="A9" s="1" t="s">
        <v>764</v>
      </c>
      <c r="B9" s="1" t="s">
        <v>765</v>
      </c>
      <c r="C9" s="2" t="str">
        <f t="shared" si="2"/>
        <v>bc807</v>
      </c>
      <c r="D9" s="3" t="s">
        <v>767</v>
      </c>
      <c r="E9" s="1" t="s">
        <v>766</v>
      </c>
      <c r="F9" t="str">
        <f>CONCATENATE("Footprints\",G9,".PcbLib")</f>
        <v>Footprints\SOT23-3.PcbLib</v>
      </c>
      <c r="G9" s="3" t="s">
        <v>18</v>
      </c>
      <c r="J9" t="s">
        <v>768</v>
      </c>
      <c r="K9" t="s">
        <v>769</v>
      </c>
      <c r="M9" t="s">
        <v>1423</v>
      </c>
    </row>
    <row r="10" spans="1:19" ht="15.5" x14ac:dyDescent="0.35">
      <c r="A10" s="1" t="s">
        <v>788</v>
      </c>
      <c r="B10" s="1" t="s">
        <v>791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909</v>
      </c>
      <c r="H10" s="2"/>
      <c r="I10" s="2"/>
      <c r="J10" t="s">
        <v>789</v>
      </c>
      <c r="K10" t="s">
        <v>790</v>
      </c>
      <c r="M10" t="s">
        <v>1423</v>
      </c>
    </row>
    <row r="11" spans="1:19" ht="15.5" x14ac:dyDescent="0.3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5" x14ac:dyDescent="0.35">
      <c r="A12" s="31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5" x14ac:dyDescent="0.3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5" x14ac:dyDescent="0.35">
      <c r="A14" s="1" t="s">
        <v>1159</v>
      </c>
      <c r="B14" s="1" t="s">
        <v>1161</v>
      </c>
      <c r="C14" s="2" t="str">
        <f>A14</f>
        <v>BC857</v>
      </c>
      <c r="D14" s="3" t="s">
        <v>767</v>
      </c>
      <c r="E14" s="1" t="s">
        <v>766</v>
      </c>
      <c r="F14" t="str">
        <f t="shared" si="4"/>
        <v>Footprints\SOT23-3.PcbLib</v>
      </c>
      <c r="G14" s="3" t="s">
        <v>18</v>
      </c>
      <c r="J14" t="s">
        <v>768</v>
      </c>
      <c r="K14" t="s">
        <v>1160</v>
      </c>
      <c r="M14" t="s">
        <v>1447</v>
      </c>
    </row>
    <row r="15" spans="1:19" ht="15.5" x14ac:dyDescent="0.35">
      <c r="A15" s="1" t="s">
        <v>1162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912</v>
      </c>
      <c r="M15" t="s">
        <v>1447</v>
      </c>
    </row>
    <row r="16" spans="1:19" ht="15.5" x14ac:dyDescent="0.35">
      <c r="A16" s="1" t="s">
        <v>1486</v>
      </c>
      <c r="B16" s="1" t="s">
        <v>1487</v>
      </c>
      <c r="C16" s="2" t="str">
        <f>A16</f>
        <v>BC857BS</v>
      </c>
      <c r="D16" s="3" t="s">
        <v>1488</v>
      </c>
      <c r="E16" s="1" t="s">
        <v>1489</v>
      </c>
      <c r="F16" t="str">
        <f t="shared" si="4"/>
        <v>Footprints\SOT-363.PcbLib</v>
      </c>
      <c r="G16" s="1" t="s">
        <v>1490</v>
      </c>
      <c r="H16" t="str">
        <f>CONCATENATE("Footprints\",I16,".PcbLib")</f>
        <v>Footprints\SOT-363_35um.PcbLib</v>
      </c>
      <c r="I16" t="s">
        <v>1494</v>
      </c>
      <c r="J16" t="s">
        <v>768</v>
      </c>
      <c r="K16" t="s">
        <v>1160</v>
      </c>
      <c r="M16" t="s">
        <v>1447</v>
      </c>
    </row>
    <row r="17" spans="1:13" ht="15.5" x14ac:dyDescent="0.35">
      <c r="A17" s="1" t="s">
        <v>1491</v>
      </c>
      <c r="B17" s="3" t="s">
        <v>1492</v>
      </c>
      <c r="C17" s="2" t="str">
        <f>A17</f>
        <v>IRF9310TR</v>
      </c>
      <c r="D17" s="3" t="s">
        <v>664</v>
      </c>
      <c r="E17" s="3" t="s">
        <v>665</v>
      </c>
      <c r="F17" t="str">
        <f t="shared" si="4"/>
        <v>Footprints\SOIC-8.PcbLib</v>
      </c>
      <c r="G17" s="1" t="s">
        <v>76</v>
      </c>
      <c r="J17" t="s">
        <v>770</v>
      </c>
      <c r="K17" t="s">
        <v>1493</v>
      </c>
      <c r="M17" t="s">
        <v>1447</v>
      </c>
    </row>
    <row r="18" spans="1:13" ht="15.5" x14ac:dyDescent="0.35">
      <c r="A18" s="1" t="s">
        <v>1504</v>
      </c>
      <c r="B18" s="1" t="s">
        <v>1507</v>
      </c>
      <c r="C18" s="2" t="str">
        <f>A18</f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1505</v>
      </c>
      <c r="J18" t="s">
        <v>770</v>
      </c>
      <c r="K18" t="s">
        <v>1506</v>
      </c>
      <c r="M18" t="s">
        <v>1447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3" zoomScale="70" zoomScaleNormal="70" workbookViewId="0">
      <selection activeCell="D187" sqref="D187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36328125" bestFit="1" customWidth="1"/>
    <col min="4" max="4" width="24.453125" bestFit="1" customWidth="1"/>
    <col min="5" max="5" width="13" bestFit="1" customWidth="1"/>
    <col min="6" max="6" width="8.36328125" bestFit="1" customWidth="1"/>
    <col min="7" max="7" width="12.36328125" bestFit="1" customWidth="1"/>
    <col min="8" max="8" width="32" bestFit="1" customWidth="1"/>
    <col min="9" max="9" width="16.6328125" bestFit="1" customWidth="1"/>
    <col min="10" max="10" width="41.36328125" customWidth="1"/>
    <col min="11" max="11" width="18.36328125" customWidth="1"/>
    <col min="12" max="12" width="41.36328125" customWidth="1"/>
    <col min="13" max="13" width="18.36328125" customWidth="1"/>
    <col min="14" max="14" width="16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29" t="s">
        <v>955</v>
      </c>
      <c r="O1" s="1" t="s">
        <v>1422</v>
      </c>
    </row>
    <row r="2" spans="1:15" ht="15.5" x14ac:dyDescent="0.3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3"/>
      <c r="O2" s="1"/>
    </row>
    <row r="3" spans="1:15" ht="15.5" x14ac:dyDescent="0.3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4"/>
      <c r="O3" s="1"/>
    </row>
    <row r="4" spans="1:15" ht="15.5" x14ac:dyDescent="0.3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3"/>
      <c r="O4" s="1"/>
    </row>
    <row r="5" spans="1:15" ht="15.5" x14ac:dyDescent="0.3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4"/>
      <c r="O5" s="1"/>
    </row>
    <row r="6" spans="1:15" ht="15.5" x14ac:dyDescent="0.3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3"/>
      <c r="O6" s="1"/>
    </row>
    <row r="7" spans="1:15" ht="15.5" x14ac:dyDescent="0.3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4"/>
      <c r="O7" s="1"/>
    </row>
    <row r="8" spans="1:15" ht="15.5" x14ac:dyDescent="0.3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3"/>
      <c r="O8" s="1"/>
    </row>
    <row r="9" spans="1:15" ht="15.5" x14ac:dyDescent="0.3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4"/>
      <c r="O9" s="1"/>
    </row>
    <row r="10" spans="1:15" ht="15.5" x14ac:dyDescent="0.3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3"/>
      <c r="O10" s="1"/>
    </row>
    <row r="11" spans="1:15" ht="15.5" x14ac:dyDescent="0.3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4"/>
      <c r="O11" s="1"/>
    </row>
    <row r="12" spans="1:15" ht="15.5" x14ac:dyDescent="0.3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3"/>
      <c r="O12" s="1"/>
    </row>
    <row r="13" spans="1:15" ht="15.5" x14ac:dyDescent="0.3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4"/>
      <c r="O13" s="1"/>
    </row>
    <row r="14" spans="1:15" ht="15.5" x14ac:dyDescent="0.3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3"/>
      <c r="O14" s="1"/>
    </row>
    <row r="15" spans="1:15" ht="15.5" x14ac:dyDescent="0.3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4"/>
      <c r="O15" s="1"/>
    </row>
    <row r="16" spans="1:15" ht="15.5" x14ac:dyDescent="0.3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3"/>
      <c r="O16" s="1"/>
    </row>
    <row r="17" spans="1:15" ht="15.5" x14ac:dyDescent="0.3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4"/>
      <c r="O17" s="1"/>
    </row>
    <row r="18" spans="1:15" ht="15.5" x14ac:dyDescent="0.3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3"/>
      <c r="O18" s="1"/>
    </row>
    <row r="19" spans="1:15" ht="15.5" x14ac:dyDescent="0.3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4"/>
      <c r="O19" s="1"/>
    </row>
    <row r="20" spans="1:15" ht="15.5" x14ac:dyDescent="0.3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3"/>
      <c r="O20" s="1"/>
    </row>
    <row r="21" spans="1:15" ht="15.5" x14ac:dyDescent="0.3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4"/>
      <c r="O21" s="1"/>
    </row>
    <row r="22" spans="1:15" ht="15.5" x14ac:dyDescent="0.3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3"/>
      <c r="O22" s="1"/>
    </row>
    <row r="23" spans="1:15" ht="15.5" x14ac:dyDescent="0.3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4"/>
      <c r="O23" s="1"/>
    </row>
    <row r="24" spans="1:15" ht="15.5" x14ac:dyDescent="0.3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3"/>
      <c r="O24" s="1"/>
    </row>
    <row r="25" spans="1:15" ht="15.5" x14ac:dyDescent="0.3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4"/>
      <c r="O25" s="1"/>
    </row>
    <row r="26" spans="1:15" ht="15.5" x14ac:dyDescent="0.3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3"/>
      <c r="O26" s="1"/>
    </row>
    <row r="27" spans="1:15" ht="15.5" x14ac:dyDescent="0.3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4"/>
      <c r="O27" s="1"/>
    </row>
    <row r="28" spans="1:15" ht="15.5" x14ac:dyDescent="0.3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3"/>
      <c r="O28" s="1"/>
    </row>
    <row r="29" spans="1:15" ht="15.5" x14ac:dyDescent="0.3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4"/>
      <c r="O29" s="1"/>
    </row>
    <row r="30" spans="1:15" ht="15.5" x14ac:dyDescent="0.3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3"/>
      <c r="O30" s="1"/>
    </row>
    <row r="31" spans="1:15" ht="15.5" x14ac:dyDescent="0.3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4"/>
      <c r="O31" s="1"/>
    </row>
    <row r="32" spans="1:15" ht="15.5" x14ac:dyDescent="0.3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3"/>
      <c r="O32" s="1"/>
    </row>
    <row r="33" spans="1:15" ht="15.5" x14ac:dyDescent="0.3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4"/>
      <c r="O33" s="1"/>
    </row>
    <row r="34" spans="1:15" ht="15.5" x14ac:dyDescent="0.3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3"/>
      <c r="O34" s="1"/>
    </row>
    <row r="35" spans="1:15" ht="15.5" x14ac:dyDescent="0.3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4"/>
      <c r="O35" s="1"/>
    </row>
    <row r="36" spans="1:15" ht="15.5" x14ac:dyDescent="0.3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3"/>
      <c r="O36" s="1"/>
    </row>
    <row r="37" spans="1:15" ht="15.5" x14ac:dyDescent="0.3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4"/>
      <c r="O37" s="1"/>
    </row>
    <row r="38" spans="1:15" ht="15.5" x14ac:dyDescent="0.3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3"/>
      <c r="O38" s="1"/>
    </row>
    <row r="39" spans="1:15" ht="15.5" x14ac:dyDescent="0.3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4"/>
      <c r="O39" s="1"/>
    </row>
    <row r="40" spans="1:15" ht="15.5" x14ac:dyDescent="0.3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3"/>
      <c r="O40" s="1"/>
    </row>
    <row r="41" spans="1:15" ht="15.5" x14ac:dyDescent="0.3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4"/>
      <c r="O41" s="1"/>
    </row>
    <row r="42" spans="1:15" ht="15.5" x14ac:dyDescent="0.3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3"/>
      <c r="O42" s="1"/>
    </row>
    <row r="43" spans="1:15" ht="15.5" x14ac:dyDescent="0.3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4"/>
      <c r="O43" s="1"/>
    </row>
    <row r="44" spans="1:15" ht="15.5" x14ac:dyDescent="0.3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3"/>
      <c r="O44" s="1"/>
    </row>
    <row r="45" spans="1:15" ht="15.5" x14ac:dyDescent="0.3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4"/>
      <c r="O45" s="1"/>
    </row>
    <row r="46" spans="1:15" ht="15.5" x14ac:dyDescent="0.3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3"/>
      <c r="O46" s="1"/>
    </row>
    <row r="47" spans="1:15" ht="15.5" x14ac:dyDescent="0.3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4"/>
      <c r="O47" s="1"/>
    </row>
    <row r="48" spans="1:15" ht="15.5" x14ac:dyDescent="0.3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3"/>
      <c r="O48" s="1"/>
    </row>
    <row r="49" spans="1:15" ht="15.5" x14ac:dyDescent="0.3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4"/>
      <c r="O49" s="1"/>
    </row>
    <row r="50" spans="1:15" ht="15.5" x14ac:dyDescent="0.3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3"/>
      <c r="O50" s="1"/>
    </row>
    <row r="51" spans="1:15" ht="15.5" x14ac:dyDescent="0.3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4"/>
      <c r="O51" s="1"/>
    </row>
    <row r="52" spans="1:15" ht="15.5" x14ac:dyDescent="0.3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773</v>
      </c>
      <c r="K52" s="1" t="s">
        <v>772</v>
      </c>
      <c r="L52" s="1"/>
      <c r="M52" s="1"/>
      <c r="N52" s="23"/>
      <c r="O52" s="1"/>
    </row>
    <row r="53" spans="1:15" ht="15.5" x14ac:dyDescent="0.3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4"/>
      <c r="O53" s="1"/>
    </row>
    <row r="54" spans="1:15" ht="15.5" x14ac:dyDescent="0.3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3"/>
      <c r="O54" s="1"/>
    </row>
    <row r="55" spans="1:15" ht="15.5" x14ac:dyDescent="0.3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4"/>
      <c r="O55" s="1"/>
    </row>
    <row r="56" spans="1:15" ht="15.5" x14ac:dyDescent="0.3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3"/>
      <c r="O56" s="1"/>
    </row>
    <row r="57" spans="1:15" ht="15.5" x14ac:dyDescent="0.3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4"/>
      <c r="O57" s="1"/>
    </row>
    <row r="58" spans="1:15" ht="15.5" x14ac:dyDescent="0.3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3"/>
      <c r="O58" s="1"/>
    </row>
    <row r="59" spans="1:15" ht="15.5" x14ac:dyDescent="0.3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4"/>
      <c r="O59" s="1"/>
    </row>
    <row r="60" spans="1:15" ht="15.5" x14ac:dyDescent="0.3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3"/>
      <c r="O60" s="1"/>
    </row>
    <row r="61" spans="1:15" ht="15.5" x14ac:dyDescent="0.3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4"/>
      <c r="O61" s="1"/>
    </row>
    <row r="62" spans="1:15" ht="15.5" x14ac:dyDescent="0.3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3"/>
      <c r="O62" s="1"/>
    </row>
    <row r="63" spans="1:15" ht="15.5" x14ac:dyDescent="0.3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4"/>
      <c r="O63" s="1"/>
    </row>
    <row r="64" spans="1:15" ht="15.5" x14ac:dyDescent="0.3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3"/>
      <c r="O64" s="1"/>
    </row>
    <row r="65" spans="1:15" ht="15.5" x14ac:dyDescent="0.3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4"/>
      <c r="O65" s="1"/>
    </row>
    <row r="66" spans="1:15" ht="15.5" x14ac:dyDescent="0.3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3"/>
      <c r="O66" s="1"/>
    </row>
    <row r="67" spans="1:15" ht="15.5" x14ac:dyDescent="0.3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722</v>
      </c>
      <c r="K67" s="1" t="s">
        <v>721</v>
      </c>
      <c r="L67" s="1"/>
      <c r="M67" s="1"/>
      <c r="N67" s="24"/>
      <c r="O67" s="1"/>
    </row>
    <row r="68" spans="1:15" ht="15.5" x14ac:dyDescent="0.3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3"/>
      <c r="O68" s="1"/>
    </row>
    <row r="69" spans="1:15" ht="15.5" x14ac:dyDescent="0.3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4"/>
      <c r="O69" s="1"/>
    </row>
    <row r="70" spans="1:15" ht="15.5" x14ac:dyDescent="0.3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3"/>
      <c r="O70" s="1"/>
    </row>
    <row r="71" spans="1:15" ht="15.5" x14ac:dyDescent="0.3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4"/>
      <c r="O71" s="1"/>
    </row>
    <row r="72" spans="1:15" ht="15.5" x14ac:dyDescent="0.3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3"/>
      <c r="O72" s="1"/>
    </row>
    <row r="73" spans="1:15" ht="15.5" x14ac:dyDescent="0.3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4"/>
      <c r="O73" s="1"/>
    </row>
    <row r="74" spans="1:15" ht="15.5" x14ac:dyDescent="0.3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3"/>
      <c r="O74" s="1"/>
    </row>
    <row r="75" spans="1:15" ht="15.5" x14ac:dyDescent="0.3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4"/>
      <c r="O75" s="1"/>
    </row>
    <row r="76" spans="1:15" ht="15.5" x14ac:dyDescent="0.3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3"/>
      <c r="O76" s="1"/>
    </row>
    <row r="77" spans="1:15" ht="15" customHeight="1" x14ac:dyDescent="0.3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4"/>
      <c r="O77" s="1"/>
    </row>
    <row r="78" spans="1:15" ht="15.5" x14ac:dyDescent="0.3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3"/>
      <c r="O78" s="1"/>
    </row>
    <row r="79" spans="1:15" ht="15.5" x14ac:dyDescent="0.3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4"/>
      <c r="O79" s="1"/>
    </row>
    <row r="80" spans="1:15" ht="15.5" x14ac:dyDescent="0.3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722</v>
      </c>
      <c r="K80" s="1" t="s">
        <v>721</v>
      </c>
      <c r="L80" s="1"/>
      <c r="M80" s="1"/>
      <c r="N80" s="23"/>
      <c r="O80" s="1"/>
    </row>
    <row r="81" spans="1:15" ht="15.5" x14ac:dyDescent="0.3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4"/>
      <c r="O81" s="1"/>
    </row>
    <row r="82" spans="1:15" ht="15.5" x14ac:dyDescent="0.3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3"/>
      <c r="O82" s="1"/>
    </row>
    <row r="83" spans="1:15" ht="15.5" x14ac:dyDescent="0.3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4"/>
      <c r="O83" s="1"/>
    </row>
    <row r="84" spans="1:15" ht="15.5" x14ac:dyDescent="0.3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3"/>
      <c r="O84" s="1"/>
    </row>
    <row r="85" spans="1:15" ht="15.5" x14ac:dyDescent="0.3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4"/>
      <c r="O85" s="1"/>
    </row>
    <row r="86" spans="1:15" ht="15.5" x14ac:dyDescent="0.3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722</v>
      </c>
      <c r="K86" s="1" t="s">
        <v>721</v>
      </c>
      <c r="L86" s="1"/>
      <c r="M86" s="1"/>
      <c r="N86" s="23"/>
      <c r="O86" s="1"/>
    </row>
    <row r="87" spans="1:15" ht="15.5" x14ac:dyDescent="0.3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968</v>
      </c>
      <c r="K87" s="1" t="s">
        <v>969</v>
      </c>
      <c r="L87" s="1"/>
      <c r="M87" s="1"/>
      <c r="N87" s="24"/>
      <c r="O87" s="1"/>
    </row>
    <row r="88" spans="1:15" ht="15.5" x14ac:dyDescent="0.3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3"/>
      <c r="O88" s="1"/>
    </row>
    <row r="89" spans="1:15" ht="15.5" x14ac:dyDescent="0.3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4"/>
      <c r="O89" s="1"/>
    </row>
    <row r="90" spans="1:15" ht="15.5" x14ac:dyDescent="0.3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3"/>
      <c r="O90" s="1"/>
    </row>
    <row r="91" spans="1:15" ht="15.5" x14ac:dyDescent="0.3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4"/>
      <c r="O91" s="1"/>
    </row>
    <row r="92" spans="1:15" ht="15.5" x14ac:dyDescent="0.3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3"/>
      <c r="O92" s="1"/>
    </row>
    <row r="93" spans="1:15" ht="15.5" x14ac:dyDescent="0.3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4"/>
      <c r="O93" s="1"/>
    </row>
    <row r="94" spans="1:15" ht="15.5" x14ac:dyDescent="0.3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3"/>
      <c r="O94" s="1"/>
    </row>
    <row r="95" spans="1:15" ht="15.5" x14ac:dyDescent="0.3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4"/>
      <c r="O95" s="1"/>
    </row>
    <row r="96" spans="1:15" ht="15.5" x14ac:dyDescent="0.3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3"/>
      <c r="O96" s="1"/>
    </row>
    <row r="97" spans="1:15" ht="15.5" x14ac:dyDescent="0.3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4"/>
      <c r="O97" s="1"/>
    </row>
    <row r="98" spans="1:15" ht="15.5" x14ac:dyDescent="0.3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3"/>
      <c r="O98" s="1"/>
    </row>
    <row r="99" spans="1:15" ht="15" customHeight="1" x14ac:dyDescent="0.3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966</v>
      </c>
      <c r="K99" s="1" t="s">
        <v>967</v>
      </c>
      <c r="L99" s="1" t="s">
        <v>1015</v>
      </c>
      <c r="M99" s="1" t="s">
        <v>1019</v>
      </c>
      <c r="N99" s="24"/>
      <c r="O99" s="1"/>
    </row>
    <row r="100" spans="1:15" ht="15" customHeight="1" x14ac:dyDescent="0.3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4"/>
      <c r="O100" s="1"/>
    </row>
    <row r="101" spans="1:15" ht="15.5" x14ac:dyDescent="0.3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4"/>
      <c r="O101" s="1"/>
    </row>
    <row r="102" spans="1:15" ht="15.5" x14ac:dyDescent="0.3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3"/>
      <c r="O102" s="1"/>
    </row>
    <row r="103" spans="1:15" ht="15" customHeight="1" x14ac:dyDescent="0.3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4"/>
      <c r="O103" s="1"/>
    </row>
    <row r="104" spans="1:15" ht="15.5" x14ac:dyDescent="0.3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3"/>
      <c r="O104" s="1"/>
    </row>
    <row r="105" spans="1:15" ht="15.5" x14ac:dyDescent="0.3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4"/>
      <c r="O105" s="1"/>
    </row>
    <row r="106" spans="1:15" ht="15.5" x14ac:dyDescent="0.3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3"/>
      <c r="O106" s="1"/>
    </row>
    <row r="107" spans="1:15" ht="15.5" x14ac:dyDescent="0.3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4"/>
      <c r="O107" s="1"/>
    </row>
    <row r="108" spans="1:15" ht="15.5" x14ac:dyDescent="0.3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3"/>
      <c r="O108" s="1"/>
    </row>
    <row r="109" spans="1:15" ht="15.5" x14ac:dyDescent="0.3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4"/>
      <c r="O109" s="1"/>
    </row>
    <row r="110" spans="1:15" ht="15.5" x14ac:dyDescent="0.3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3"/>
      <c r="O110" s="1"/>
    </row>
    <row r="111" spans="1:15" ht="15.5" x14ac:dyDescent="0.3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4"/>
      <c r="O111" s="1"/>
    </row>
    <row r="112" spans="1:15" ht="15.5" x14ac:dyDescent="0.3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3"/>
      <c r="O112" s="1"/>
    </row>
    <row r="113" spans="1:15" ht="15.5" x14ac:dyDescent="0.35">
      <c r="A113" s="3" t="s">
        <v>678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679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4"/>
      <c r="O113" s="1"/>
    </row>
    <row r="114" spans="1:15" ht="15.5" x14ac:dyDescent="0.3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3"/>
      <c r="O114" s="1"/>
    </row>
    <row r="115" spans="1:15" ht="15.5" x14ac:dyDescent="0.3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4"/>
      <c r="O115" s="1"/>
    </row>
    <row r="116" spans="1:15" ht="15.5" x14ac:dyDescent="0.3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3"/>
      <c r="O116" s="1"/>
    </row>
    <row r="117" spans="1:15" ht="15.5" x14ac:dyDescent="0.3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4"/>
      <c r="O117" s="1"/>
    </row>
    <row r="118" spans="1:15" ht="15.5" x14ac:dyDescent="0.3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3"/>
      <c r="O118" s="1"/>
    </row>
    <row r="119" spans="1:15" ht="15.5" x14ac:dyDescent="0.3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4"/>
      <c r="O119" s="1"/>
    </row>
    <row r="120" spans="1:15" ht="15.5" x14ac:dyDescent="0.3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3"/>
      <c r="O120" s="1"/>
    </row>
    <row r="121" spans="1:15" ht="15.5" x14ac:dyDescent="0.3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4"/>
      <c r="O121" s="1"/>
    </row>
    <row r="122" spans="1:15" ht="15.5" x14ac:dyDescent="0.3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3"/>
      <c r="O122" s="1"/>
    </row>
    <row r="123" spans="1:15" ht="15.5" x14ac:dyDescent="0.3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4"/>
      <c r="O123" s="1"/>
    </row>
    <row r="124" spans="1:15" ht="15.5" x14ac:dyDescent="0.3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3"/>
      <c r="O124" s="1"/>
    </row>
    <row r="125" spans="1:15" ht="15.5" x14ac:dyDescent="0.3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4"/>
      <c r="O125" s="1"/>
    </row>
    <row r="126" spans="1:15" ht="15.5" x14ac:dyDescent="0.3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3"/>
      <c r="O126" s="1"/>
    </row>
    <row r="127" spans="1:15" ht="15.5" x14ac:dyDescent="0.3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4"/>
      <c r="O127" s="1"/>
    </row>
    <row r="128" spans="1:15" ht="15.5" x14ac:dyDescent="0.3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3"/>
      <c r="O128" s="1"/>
    </row>
    <row r="129" spans="1:15" ht="15.5" x14ac:dyDescent="0.3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4"/>
      <c r="O129" s="1"/>
    </row>
    <row r="130" spans="1:15" ht="15.5" x14ac:dyDescent="0.3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3"/>
      <c r="O130" s="1"/>
    </row>
    <row r="131" spans="1:15" ht="15.5" x14ac:dyDescent="0.3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4"/>
      <c r="O131" s="1"/>
    </row>
    <row r="132" spans="1:15" ht="15.5" x14ac:dyDescent="0.3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3"/>
      <c r="O132" s="1"/>
    </row>
    <row r="133" spans="1:15" ht="15.5" x14ac:dyDescent="0.3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4"/>
      <c r="O133" s="1"/>
    </row>
    <row r="134" spans="1:15" ht="15.5" x14ac:dyDescent="0.3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3"/>
      <c r="O134" s="1"/>
    </row>
    <row r="135" spans="1:15" ht="15.5" x14ac:dyDescent="0.3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4"/>
      <c r="O135" s="1"/>
    </row>
    <row r="136" spans="1:15" ht="15.5" x14ac:dyDescent="0.3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3"/>
      <c r="O136" s="1"/>
    </row>
    <row r="137" spans="1:15" ht="15.5" x14ac:dyDescent="0.3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4"/>
      <c r="O137" s="1"/>
    </row>
    <row r="138" spans="1:15" ht="15.5" x14ac:dyDescent="0.3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3"/>
      <c r="O138" s="1"/>
    </row>
    <row r="139" spans="1:15" ht="15.5" x14ac:dyDescent="0.3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4"/>
      <c r="O139" s="1"/>
    </row>
    <row r="140" spans="1:15" ht="15.5" x14ac:dyDescent="0.3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3"/>
      <c r="O140" s="1"/>
    </row>
    <row r="141" spans="1:15" ht="15.5" x14ac:dyDescent="0.3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4"/>
      <c r="O141" s="1"/>
    </row>
    <row r="142" spans="1:15" ht="15.5" x14ac:dyDescent="0.3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3"/>
      <c r="O142" s="1"/>
    </row>
    <row r="143" spans="1:15" ht="15.5" x14ac:dyDescent="0.3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4"/>
      <c r="O143" s="1"/>
    </row>
    <row r="144" spans="1:15" ht="15.5" x14ac:dyDescent="0.3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3"/>
      <c r="O144" s="1"/>
    </row>
    <row r="145" spans="1:15" ht="15.5" x14ac:dyDescent="0.3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4"/>
      <c r="O145" s="1"/>
    </row>
    <row r="146" spans="1:15" ht="15.5" x14ac:dyDescent="0.3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3"/>
      <c r="O146" s="1"/>
    </row>
    <row r="147" spans="1:15" ht="15.5" x14ac:dyDescent="0.3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4"/>
      <c r="O147" s="1"/>
    </row>
    <row r="148" spans="1:15" ht="15.5" x14ac:dyDescent="0.3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3"/>
      <c r="O148" s="1"/>
    </row>
    <row r="149" spans="1:15" ht="15.5" x14ac:dyDescent="0.3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4"/>
      <c r="O149" s="1"/>
    </row>
    <row r="150" spans="1:15" ht="15.5" x14ac:dyDescent="0.3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3"/>
      <c r="O150" s="1"/>
    </row>
    <row r="151" spans="1:15" ht="15.5" x14ac:dyDescent="0.3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4"/>
      <c r="O151" s="1"/>
    </row>
    <row r="152" spans="1:15" ht="15.5" x14ac:dyDescent="0.3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3"/>
      <c r="O152" s="1"/>
    </row>
    <row r="153" spans="1:15" ht="15.5" x14ac:dyDescent="0.3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4"/>
      <c r="O153" s="1"/>
    </row>
    <row r="154" spans="1:15" ht="15.5" x14ac:dyDescent="0.3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3"/>
      <c r="O154" s="1"/>
    </row>
    <row r="155" spans="1:15" ht="15.5" x14ac:dyDescent="0.3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4"/>
      <c r="O155" s="1"/>
    </row>
    <row r="156" spans="1:15" ht="15.5" x14ac:dyDescent="0.3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3"/>
      <c r="O156" s="1"/>
    </row>
    <row r="157" spans="1:15" ht="15.5" x14ac:dyDescent="0.3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4"/>
      <c r="O157" s="1"/>
    </row>
    <row r="158" spans="1:15" ht="15.5" x14ac:dyDescent="0.3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3"/>
      <c r="O158" s="1"/>
    </row>
    <row r="159" spans="1:15" ht="15.5" x14ac:dyDescent="0.3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4"/>
      <c r="O159" s="1"/>
    </row>
    <row r="160" spans="1:15" ht="15.5" x14ac:dyDescent="0.3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3"/>
      <c r="O160" s="1"/>
    </row>
    <row r="161" spans="1:15" ht="15.5" x14ac:dyDescent="0.3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4"/>
      <c r="O161" s="1"/>
    </row>
    <row r="162" spans="1:15" ht="15.5" x14ac:dyDescent="0.3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3"/>
      <c r="O162" s="1"/>
    </row>
    <row r="163" spans="1:15" ht="15.5" x14ac:dyDescent="0.3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4"/>
      <c r="O163" s="1"/>
    </row>
    <row r="164" spans="1:15" ht="15.5" x14ac:dyDescent="0.3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3"/>
      <c r="O164" s="1"/>
    </row>
    <row r="165" spans="1:15" ht="15.5" x14ac:dyDescent="0.3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4"/>
      <c r="O165" s="1"/>
    </row>
    <row r="166" spans="1:15" ht="15.5" x14ac:dyDescent="0.3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3"/>
      <c r="O166" s="1"/>
    </row>
    <row r="167" spans="1:15" ht="15.5" x14ac:dyDescent="0.3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4"/>
      <c r="O167" s="1"/>
    </row>
    <row r="168" spans="1:15" ht="15.5" x14ac:dyDescent="0.3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3"/>
      <c r="O168" s="1"/>
    </row>
    <row r="169" spans="1:15" ht="15.5" x14ac:dyDescent="0.3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4"/>
      <c r="O169" s="1"/>
    </row>
    <row r="170" spans="1:15" ht="15.5" x14ac:dyDescent="0.3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3"/>
      <c r="O170" s="1"/>
    </row>
    <row r="171" spans="1:15" ht="15.5" x14ac:dyDescent="0.3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4"/>
      <c r="O171" s="1"/>
    </row>
    <row r="172" spans="1:15" ht="15.5" x14ac:dyDescent="0.3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3"/>
      <c r="O172" s="1"/>
    </row>
    <row r="173" spans="1:15" ht="15.5" x14ac:dyDescent="0.3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4"/>
      <c r="O173" s="1"/>
    </row>
    <row r="174" spans="1:15" ht="15.5" x14ac:dyDescent="0.3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3"/>
      <c r="O174" s="1"/>
    </row>
    <row r="175" spans="1:15" ht="15.5" x14ac:dyDescent="0.35">
      <c r="A175" s="1" t="s">
        <v>712</v>
      </c>
      <c r="B175" s="1" t="s">
        <v>713</v>
      </c>
      <c r="C175" s="1" t="s">
        <v>712</v>
      </c>
      <c r="D175" s="3" t="s">
        <v>718</v>
      </c>
      <c r="E175" s="1" t="s">
        <v>717</v>
      </c>
      <c r="F175" s="1" t="s">
        <v>715</v>
      </c>
      <c r="G175" s="13">
        <v>0.5</v>
      </c>
      <c r="H175" s="3" t="s">
        <v>714</v>
      </c>
      <c r="I175" s="1" t="s">
        <v>716</v>
      </c>
      <c r="J175" s="1"/>
      <c r="K175" s="1"/>
      <c r="L175" s="1"/>
      <c r="M175" s="1"/>
      <c r="N175" s="24"/>
      <c r="O175" s="1" t="s">
        <v>1423</v>
      </c>
    </row>
    <row r="176" spans="1:15" ht="15.5" x14ac:dyDescent="0.35">
      <c r="A176" s="14" t="s">
        <v>779</v>
      </c>
      <c r="B176" s="1" t="s">
        <v>780</v>
      </c>
      <c r="C176" s="1" t="s">
        <v>779</v>
      </c>
      <c r="D176" s="3" t="s">
        <v>718</v>
      </c>
      <c r="E176" s="1" t="s">
        <v>717</v>
      </c>
      <c r="F176" s="1">
        <v>100</v>
      </c>
      <c r="G176" s="13">
        <v>0.5</v>
      </c>
      <c r="H176" s="3" t="s">
        <v>714</v>
      </c>
      <c r="I176" s="1" t="s">
        <v>716</v>
      </c>
      <c r="J176" s="1"/>
      <c r="K176" s="1"/>
      <c r="L176" s="1"/>
      <c r="M176" s="1"/>
      <c r="N176" s="1"/>
      <c r="O176" s="1" t="s">
        <v>1423</v>
      </c>
    </row>
    <row r="177" spans="1:15" ht="15.5" x14ac:dyDescent="0.35">
      <c r="A177" s="14" t="s">
        <v>783</v>
      </c>
      <c r="B177" s="1" t="s">
        <v>784</v>
      </c>
      <c r="C177" s="1" t="s">
        <v>783</v>
      </c>
      <c r="D177" s="3" t="s">
        <v>718</v>
      </c>
      <c r="E177" s="1" t="s">
        <v>717</v>
      </c>
      <c r="F177" s="1" t="s">
        <v>785</v>
      </c>
      <c r="G177" s="13">
        <v>0.5</v>
      </c>
      <c r="H177" s="3" t="s">
        <v>714</v>
      </c>
      <c r="I177" s="1" t="s">
        <v>716</v>
      </c>
      <c r="J177" s="1"/>
      <c r="K177" s="1"/>
      <c r="L177" s="1"/>
      <c r="M177" s="1"/>
      <c r="N177" s="1"/>
      <c r="O177" s="1" t="s">
        <v>1423</v>
      </c>
    </row>
    <row r="178" spans="1:15" ht="15.5" x14ac:dyDescent="0.35">
      <c r="A178" s="3" t="s">
        <v>915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914</v>
      </c>
      <c r="G178" s="4">
        <v>0.01</v>
      </c>
      <c r="H178" s="3" t="s">
        <v>722</v>
      </c>
      <c r="I178" s="3" t="s">
        <v>721</v>
      </c>
      <c r="J178" s="1"/>
      <c r="K178" s="1"/>
      <c r="L178" s="1"/>
      <c r="M178" s="1"/>
      <c r="N178" s="1"/>
      <c r="O178" s="1"/>
    </row>
    <row r="179" spans="1:15" ht="15.5" x14ac:dyDescent="0.3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968</v>
      </c>
      <c r="I179" s="3" t="s">
        <v>969</v>
      </c>
      <c r="J179" s="1"/>
      <c r="K179" s="1"/>
      <c r="L179" s="1"/>
      <c r="M179" s="1"/>
      <c r="N179" s="1"/>
      <c r="O179" s="1"/>
    </row>
    <row r="180" spans="1:15" ht="15.5" x14ac:dyDescent="0.3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0"/>
      <c r="O180" s="1"/>
    </row>
    <row r="181" spans="1:15" ht="15.5" x14ac:dyDescent="0.3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722</v>
      </c>
      <c r="I181" s="1" t="s">
        <v>721</v>
      </c>
      <c r="J181" s="1"/>
      <c r="K181" s="1"/>
      <c r="L181" s="1"/>
      <c r="M181" s="1"/>
      <c r="N181" s="1"/>
      <c r="O181" s="1"/>
    </row>
    <row r="182" spans="1:15" ht="15.5" x14ac:dyDescent="0.35">
      <c r="A182" s="1" t="s">
        <v>1416</v>
      </c>
      <c r="B182" s="1" t="s">
        <v>1417</v>
      </c>
      <c r="C182" s="1" t="s">
        <v>1416</v>
      </c>
      <c r="D182" s="1" t="s">
        <v>29</v>
      </c>
      <c r="E182" s="1" t="s">
        <v>26</v>
      </c>
      <c r="F182" s="1" t="s">
        <v>1418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1423</v>
      </c>
    </row>
    <row r="183" spans="1:15" ht="15.5" x14ac:dyDescent="0.35">
      <c r="A183" s="3" t="s">
        <v>1443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1444</v>
      </c>
      <c r="I183" s="3" t="s">
        <v>1445</v>
      </c>
      <c r="J183" s="3"/>
      <c r="K183" s="1"/>
      <c r="L183" s="1"/>
      <c r="M183" s="1"/>
      <c r="N183" s="50"/>
      <c r="O183" s="1" t="s">
        <v>1423</v>
      </c>
    </row>
    <row r="184" spans="1:15" ht="15" customHeight="1" x14ac:dyDescent="0.35">
      <c r="A184" s="3" t="s">
        <v>1446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1444</v>
      </c>
      <c r="I184" s="3" t="s">
        <v>1445</v>
      </c>
      <c r="J184" s="1"/>
      <c r="K184" s="1"/>
      <c r="L184" s="1"/>
      <c r="M184" s="1"/>
      <c r="N184" s="49"/>
      <c r="O184" s="1" t="s">
        <v>1423</v>
      </c>
    </row>
    <row r="185" spans="1:15" ht="15" customHeight="1" x14ac:dyDescent="0.35">
      <c r="A185" s="3" t="s">
        <v>1571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1444</v>
      </c>
      <c r="I185" s="3" t="s">
        <v>1445</v>
      </c>
      <c r="J185" s="1"/>
      <c r="K185" s="1"/>
      <c r="L185" s="1"/>
      <c r="M185" s="1"/>
      <c r="N185" s="1"/>
      <c r="O185" s="1" t="s">
        <v>1423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25" sqref="I25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6328125" customWidth="1"/>
    <col min="6" max="6" width="20.6328125" customWidth="1"/>
    <col min="7" max="7" width="14.36328125" customWidth="1"/>
    <col min="8" max="8" width="13.08984375" customWidth="1"/>
    <col min="9" max="10" width="13.36328125" customWidth="1"/>
    <col min="11" max="11" width="12.36328125" customWidth="1"/>
  </cols>
  <sheetData>
    <row r="1" spans="1:12" ht="15.5" x14ac:dyDescent="0.35">
      <c r="A1" s="41" t="s">
        <v>0</v>
      </c>
      <c r="B1" s="41" t="s">
        <v>1</v>
      </c>
      <c r="C1" s="41" t="s">
        <v>14</v>
      </c>
      <c r="D1" s="41" t="s">
        <v>2</v>
      </c>
      <c r="E1" s="41" t="s">
        <v>3</v>
      </c>
      <c r="F1" s="41" t="s">
        <v>12</v>
      </c>
      <c r="G1" s="41" t="s">
        <v>8</v>
      </c>
      <c r="H1" s="41" t="s">
        <v>525</v>
      </c>
      <c r="I1" s="41" t="s">
        <v>1464</v>
      </c>
      <c r="J1" s="41" t="s">
        <v>69</v>
      </c>
      <c r="K1" s="41" t="s">
        <v>955</v>
      </c>
      <c r="L1" s="1" t="s">
        <v>1422</v>
      </c>
    </row>
    <row r="2" spans="1:12" x14ac:dyDescent="0.35">
      <c r="A2" s="19" t="s">
        <v>918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917</v>
      </c>
      <c r="E2" s="20" t="s">
        <v>916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5" t="s">
        <v>1463</v>
      </c>
      <c r="J2" s="2"/>
      <c r="L2" t="s">
        <v>1423</v>
      </c>
    </row>
    <row r="3" spans="1:12" x14ac:dyDescent="0.35">
      <c r="A3" s="2" t="s">
        <v>1084</v>
      </c>
      <c r="B3" s="2" t="s">
        <v>1085</v>
      </c>
      <c r="C3" s="2" t="s">
        <v>1084</v>
      </c>
      <c r="D3" s="2" t="s">
        <v>917</v>
      </c>
      <c r="E3" s="2" t="s">
        <v>916</v>
      </c>
      <c r="F3" s="2" t="s">
        <v>1086</v>
      </c>
      <c r="G3" s="2" t="s">
        <v>128</v>
      </c>
      <c r="H3" s="2" t="s">
        <v>409</v>
      </c>
      <c r="I3" s="2" t="s">
        <v>1465</v>
      </c>
      <c r="J3" s="2"/>
    </row>
    <row r="4" spans="1:12" x14ac:dyDescent="0.35">
      <c r="A4" t="s">
        <v>1592</v>
      </c>
      <c r="B4" t="s">
        <v>1593</v>
      </c>
      <c r="C4" t="s">
        <v>1592</v>
      </c>
      <c r="D4" s="2" t="s">
        <v>917</v>
      </c>
      <c r="E4" s="2" t="s">
        <v>916</v>
      </c>
      <c r="F4" s="2" t="s">
        <v>1595</v>
      </c>
      <c r="G4" t="s">
        <v>1594</v>
      </c>
      <c r="H4">
        <v>400</v>
      </c>
      <c r="I4" s="2" t="s">
        <v>1465</v>
      </c>
      <c r="K4" t="s">
        <v>1596</v>
      </c>
      <c r="L4" t="s">
        <v>1423</v>
      </c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36328125" bestFit="1" customWidth="1"/>
    <col min="3" max="3" width="15.453125" bestFit="1" customWidth="1"/>
    <col min="4" max="4" width="32" bestFit="1" customWidth="1"/>
    <col min="5" max="5" width="15.453125" bestFit="1" customWidth="1"/>
    <col min="6" max="6" width="8.6328125" bestFit="1" customWidth="1"/>
    <col min="7" max="7" width="33.54296875" bestFit="1" customWidth="1"/>
    <col min="8" max="8" width="17.36328125" bestFit="1" customWidth="1"/>
    <col min="9" max="9" width="33.54296875" bestFit="1" customWidth="1"/>
    <col min="10" max="10" width="17.36328125" bestFit="1" customWidth="1"/>
    <col min="11" max="11" width="33.54296875" bestFit="1" customWidth="1"/>
    <col min="12" max="12" width="17.36328125" bestFit="1" customWidth="1"/>
    <col min="13" max="13" width="32.6328125" bestFit="1" customWidth="1"/>
    <col min="14" max="14" width="17.36328125" bestFit="1" customWidth="1"/>
    <col min="15" max="15" width="32.453125" bestFit="1" customWidth="1"/>
    <col min="16" max="16" width="17.36328125" bestFit="1" customWidth="1"/>
    <col min="17" max="17" width="42.36328125" bestFit="1" customWidth="1"/>
    <col min="18" max="18" width="17.36328125" bestFit="1" customWidth="1"/>
    <col min="19" max="19" width="42.453125" bestFit="1" customWidth="1"/>
    <col min="20" max="20" width="17.36328125" bestFit="1" customWidth="1"/>
    <col min="21" max="21" width="14.3632812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955</v>
      </c>
      <c r="V1" s="1" t="s">
        <v>1422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600</v>
      </c>
      <c r="H2" s="3" t="s">
        <v>37</v>
      </c>
      <c r="I2" s="3" t="s">
        <v>647</v>
      </c>
      <c r="J2" s="3" t="s">
        <v>38</v>
      </c>
      <c r="K2" s="10" t="s">
        <v>649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627</v>
      </c>
      <c r="E3" s="3" t="s">
        <v>39</v>
      </c>
      <c r="F3" s="3" t="s">
        <v>41</v>
      </c>
      <c r="G3" s="3" t="s">
        <v>646</v>
      </c>
      <c r="H3" s="3" t="s">
        <v>121</v>
      </c>
      <c r="I3" s="3" t="s">
        <v>648</v>
      </c>
      <c r="J3" s="3" t="s">
        <v>122</v>
      </c>
      <c r="K3" s="3" t="s">
        <v>650</v>
      </c>
      <c r="L3" s="3" t="s">
        <v>123</v>
      </c>
      <c r="M3" s="3" t="s">
        <v>651</v>
      </c>
      <c r="N3" s="3" t="s">
        <v>124</v>
      </c>
      <c r="O3" s="3" t="s">
        <v>652</v>
      </c>
      <c r="P3" s="3" t="s">
        <v>125</v>
      </c>
      <c r="Q3" s="3" t="s">
        <v>653</v>
      </c>
      <c r="R3" s="2" t="s">
        <v>129</v>
      </c>
      <c r="S3" s="3" t="s">
        <v>690</v>
      </c>
      <c r="T3" s="2" t="s">
        <v>130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2"/>
  <sheetViews>
    <sheetView topLeftCell="A27" zoomScale="85" zoomScaleNormal="85" workbookViewId="0">
      <selection activeCell="B55" sqref="B55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36328125" customWidth="1"/>
    <col min="6" max="6" width="14.453125" customWidth="1"/>
    <col min="7" max="7" width="9.6328125" customWidth="1"/>
    <col min="8" max="8" width="12.54296875" style="2" customWidth="1"/>
    <col min="9" max="9" width="14.453125" customWidth="1"/>
    <col min="10" max="10" width="12" customWidth="1"/>
    <col min="11" max="11" width="25.6328125" customWidth="1"/>
    <col min="12" max="12" width="15.54296875" customWidth="1"/>
    <col min="13" max="13" width="14.6328125" customWidth="1"/>
    <col min="14" max="14" width="12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8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955</v>
      </c>
      <c r="N1" s="8" t="s">
        <v>1422</v>
      </c>
    </row>
    <row r="2" spans="1:14" x14ac:dyDescent="0.35">
      <c r="A2" s="26" t="s">
        <v>1098</v>
      </c>
      <c r="B2" s="33" t="str">
        <f t="shared" ref="B2:B48" si="0">CONCATENATE("Конденсатор ",K2," ёмкостью ",F2, " ", G2, ", ",H2," В, ",I2)</f>
        <v>Конденсатор 0603C ёмкостью 0,01 н 10%, 50 В, X7R</v>
      </c>
      <c r="C2" s="27" t="s">
        <v>27</v>
      </c>
      <c r="D2" s="27" t="s">
        <v>30</v>
      </c>
      <c r="E2" s="27" t="s">
        <v>27</v>
      </c>
      <c r="F2" s="27" t="s">
        <v>1099</v>
      </c>
      <c r="G2" s="27" t="s">
        <v>1193</v>
      </c>
      <c r="H2" s="27">
        <v>50</v>
      </c>
      <c r="I2" s="27" t="s">
        <v>599</v>
      </c>
      <c r="J2" s="27" t="s">
        <v>600</v>
      </c>
      <c r="K2" s="27" t="s">
        <v>37</v>
      </c>
      <c r="L2" s="27" t="s">
        <v>1100</v>
      </c>
      <c r="M2" s="28"/>
      <c r="N2" s="2" t="s">
        <v>1423</v>
      </c>
    </row>
    <row r="3" spans="1:14" x14ac:dyDescent="0.35">
      <c r="A3" s="2" t="s">
        <v>1174</v>
      </c>
      <c r="B3" s="33" t="str">
        <f t="shared" si="0"/>
        <v>Конденсатор 0603C ёмкостью 100 п 10%, 50 В, X7R</v>
      </c>
      <c r="C3" s="27" t="s">
        <v>27</v>
      </c>
      <c r="D3" s="27" t="s">
        <v>30</v>
      </c>
      <c r="E3" s="27" t="s">
        <v>27</v>
      </c>
      <c r="F3" s="27" t="s">
        <v>1175</v>
      </c>
      <c r="G3" s="27" t="s">
        <v>1193</v>
      </c>
      <c r="H3" s="27">
        <v>50</v>
      </c>
      <c r="I3" s="27" t="s">
        <v>599</v>
      </c>
      <c r="J3" s="27" t="s">
        <v>600</v>
      </c>
      <c r="K3" s="27" t="s">
        <v>37</v>
      </c>
      <c r="L3" s="27" t="s">
        <v>1176</v>
      </c>
      <c r="M3" s="2"/>
      <c r="N3" s="2"/>
    </row>
    <row r="4" spans="1:14" x14ac:dyDescent="0.35">
      <c r="A4" s="19" t="s">
        <v>1101</v>
      </c>
      <c r="B4" s="33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7" t="s">
        <v>1193</v>
      </c>
      <c r="H4" s="20">
        <v>50</v>
      </c>
      <c r="I4" s="20" t="s">
        <v>599</v>
      </c>
      <c r="J4" s="20" t="s">
        <v>600</v>
      </c>
      <c r="K4" s="20" t="s">
        <v>37</v>
      </c>
      <c r="L4" s="20" t="s">
        <v>1103</v>
      </c>
      <c r="M4" s="25"/>
      <c r="N4" s="2"/>
    </row>
    <row r="5" spans="1:14" x14ac:dyDescent="0.35">
      <c r="A5" s="42" t="s">
        <v>1095</v>
      </c>
      <c r="B5" s="43" t="str">
        <f t="shared" si="0"/>
        <v>Конденсатор 0603C ёмкостью 0,75 н 10%, 50 В, X7R</v>
      </c>
      <c r="C5" s="44" t="s">
        <v>27</v>
      </c>
      <c r="D5" s="44" t="s">
        <v>30</v>
      </c>
      <c r="E5" s="44" t="s">
        <v>27</v>
      </c>
      <c r="F5" s="44" t="s">
        <v>1096</v>
      </c>
      <c r="G5" s="45" t="s">
        <v>1193</v>
      </c>
      <c r="H5" s="44">
        <v>50</v>
      </c>
      <c r="I5" s="44" t="s">
        <v>599</v>
      </c>
      <c r="J5" s="44" t="s">
        <v>600</v>
      </c>
      <c r="K5" s="44" t="s">
        <v>37</v>
      </c>
      <c r="L5" s="44" t="s">
        <v>1097</v>
      </c>
      <c r="M5" s="46"/>
      <c r="N5" s="47"/>
    </row>
    <row r="6" spans="1:14" x14ac:dyDescent="0.35">
      <c r="A6" s="2" t="s">
        <v>900</v>
      </c>
      <c r="B6" s="33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563</v>
      </c>
      <c r="G6" s="27" t="s">
        <v>1193</v>
      </c>
      <c r="H6" s="2">
        <v>50</v>
      </c>
      <c r="I6" s="2" t="s">
        <v>599</v>
      </c>
      <c r="J6" s="2" t="s">
        <v>600</v>
      </c>
      <c r="K6" s="2" t="s">
        <v>37</v>
      </c>
      <c r="L6" s="2">
        <v>1</v>
      </c>
      <c r="M6" s="2"/>
      <c r="N6" s="2"/>
    </row>
    <row r="7" spans="1:14" x14ac:dyDescent="0.35">
      <c r="A7" s="2" t="s">
        <v>527</v>
      </c>
      <c r="B7" s="33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564</v>
      </c>
      <c r="G7" s="27" t="s">
        <v>1193</v>
      </c>
      <c r="H7" s="2">
        <v>50</v>
      </c>
      <c r="I7" s="2" t="s">
        <v>599</v>
      </c>
      <c r="J7" s="2" t="s">
        <v>600</v>
      </c>
      <c r="K7" s="2" t="s">
        <v>37</v>
      </c>
      <c r="L7" s="2">
        <v>1.2</v>
      </c>
      <c r="M7" s="2"/>
      <c r="N7" s="2"/>
    </row>
    <row r="8" spans="1:14" x14ac:dyDescent="0.35">
      <c r="A8" s="2" t="s">
        <v>528</v>
      </c>
      <c r="B8" s="33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565</v>
      </c>
      <c r="G8" s="27" t="s">
        <v>1193</v>
      </c>
      <c r="H8" s="2">
        <v>50</v>
      </c>
      <c r="I8" s="2" t="s">
        <v>599</v>
      </c>
      <c r="J8" s="2" t="s">
        <v>600</v>
      </c>
      <c r="K8" s="2" t="s">
        <v>37</v>
      </c>
      <c r="L8" s="2">
        <v>1.5</v>
      </c>
      <c r="M8" s="2"/>
      <c r="N8" s="2"/>
    </row>
    <row r="9" spans="1:14" x14ac:dyDescent="0.35">
      <c r="A9" s="2" t="s">
        <v>529</v>
      </c>
      <c r="B9" s="33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566</v>
      </c>
      <c r="G9" s="27" t="s">
        <v>1193</v>
      </c>
      <c r="H9" s="2">
        <v>50</v>
      </c>
      <c r="I9" s="2" t="s">
        <v>599</v>
      </c>
      <c r="J9" s="2" t="s">
        <v>600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530</v>
      </c>
      <c r="B10" s="33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567</v>
      </c>
      <c r="G10" s="27" t="s">
        <v>1193</v>
      </c>
      <c r="H10" s="2">
        <v>50</v>
      </c>
      <c r="I10" s="2" t="s">
        <v>599</v>
      </c>
      <c r="J10" s="2" t="s">
        <v>600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531</v>
      </c>
      <c r="B11" s="33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568</v>
      </c>
      <c r="G11" s="27" t="s">
        <v>1193</v>
      </c>
      <c r="H11" s="2">
        <v>50</v>
      </c>
      <c r="I11" s="2" t="s">
        <v>599</v>
      </c>
      <c r="J11" s="2" t="s">
        <v>600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532</v>
      </c>
      <c r="B12" s="33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569</v>
      </c>
      <c r="G12" s="27" t="s">
        <v>1193</v>
      </c>
      <c r="H12" s="2">
        <v>50</v>
      </c>
      <c r="I12" s="2" t="s">
        <v>599</v>
      </c>
      <c r="J12" s="2" t="s">
        <v>600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533</v>
      </c>
      <c r="B13" s="33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570</v>
      </c>
      <c r="G13" s="27" t="s">
        <v>1193</v>
      </c>
      <c r="H13" s="2">
        <v>50</v>
      </c>
      <c r="I13" s="2" t="s">
        <v>599</v>
      </c>
      <c r="J13" s="2" t="s">
        <v>600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534</v>
      </c>
      <c r="B14" s="33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571</v>
      </c>
      <c r="G14" s="27" t="s">
        <v>1193</v>
      </c>
      <c r="H14" s="2">
        <v>50</v>
      </c>
      <c r="I14" s="2" t="s">
        <v>599</v>
      </c>
      <c r="J14" s="2" t="s">
        <v>600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535</v>
      </c>
      <c r="B15" s="33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572</v>
      </c>
      <c r="G15" s="27" t="s">
        <v>1193</v>
      </c>
      <c r="H15" s="2">
        <v>50</v>
      </c>
      <c r="I15" s="2" t="s">
        <v>599</v>
      </c>
      <c r="J15" s="2" t="s">
        <v>600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536</v>
      </c>
      <c r="B16" s="33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573</v>
      </c>
      <c r="G16" s="27" t="s">
        <v>1193</v>
      </c>
      <c r="H16" s="2">
        <v>50</v>
      </c>
      <c r="I16" s="2" t="s">
        <v>599</v>
      </c>
      <c r="J16" s="2" t="s">
        <v>600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537</v>
      </c>
      <c r="B17" s="33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574</v>
      </c>
      <c r="G17" s="27" t="s">
        <v>1193</v>
      </c>
      <c r="H17" s="2">
        <v>50</v>
      </c>
      <c r="I17" s="2" t="s">
        <v>599</v>
      </c>
      <c r="J17" s="2" t="s">
        <v>600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538</v>
      </c>
      <c r="B18" s="33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575</v>
      </c>
      <c r="G18" s="27" t="s">
        <v>1193</v>
      </c>
      <c r="H18" s="2">
        <v>50</v>
      </c>
      <c r="I18" s="2" t="s">
        <v>599</v>
      </c>
      <c r="J18" s="2" t="s">
        <v>600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539</v>
      </c>
      <c r="B19" s="33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576</v>
      </c>
      <c r="G19" s="27" t="s">
        <v>1193</v>
      </c>
      <c r="H19" s="2">
        <v>50</v>
      </c>
      <c r="I19" s="2" t="s">
        <v>599</v>
      </c>
      <c r="J19" s="2" t="s">
        <v>600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540</v>
      </c>
      <c r="B20" s="33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577</v>
      </c>
      <c r="G20" s="27" t="s">
        <v>1193</v>
      </c>
      <c r="H20" s="2">
        <v>50</v>
      </c>
      <c r="I20" s="2" t="s">
        <v>599</v>
      </c>
      <c r="J20" s="2" t="s">
        <v>600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541</v>
      </c>
      <c r="B21" s="33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578</v>
      </c>
      <c r="G21" s="27" t="s">
        <v>1193</v>
      </c>
      <c r="H21" s="2">
        <v>50</v>
      </c>
      <c r="I21" s="2" t="s">
        <v>599</v>
      </c>
      <c r="J21" s="2" t="s">
        <v>600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542</v>
      </c>
      <c r="B22" s="33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579</v>
      </c>
      <c r="G22" s="27" t="s">
        <v>1193</v>
      </c>
      <c r="H22" s="2">
        <v>50</v>
      </c>
      <c r="I22" s="2" t="s">
        <v>599</v>
      </c>
      <c r="J22" s="2" t="s">
        <v>600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543</v>
      </c>
      <c r="B23" s="33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580</v>
      </c>
      <c r="G23" s="27" t="s">
        <v>1193</v>
      </c>
      <c r="H23" s="2">
        <v>50</v>
      </c>
      <c r="I23" s="2" t="s">
        <v>599</v>
      </c>
      <c r="J23" s="2" t="s">
        <v>600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544</v>
      </c>
      <c r="B24" s="33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581</v>
      </c>
      <c r="G24" s="27" t="s">
        <v>1193</v>
      </c>
      <c r="H24" s="2">
        <v>50</v>
      </c>
      <c r="I24" s="2" t="s">
        <v>599</v>
      </c>
      <c r="J24" s="2" t="s">
        <v>600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545</v>
      </c>
      <c r="B25" s="33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582</v>
      </c>
      <c r="G25" s="27" t="s">
        <v>1193</v>
      </c>
      <c r="H25" s="2">
        <v>50</v>
      </c>
      <c r="I25" s="2" t="s">
        <v>599</v>
      </c>
      <c r="J25" s="2" t="s">
        <v>600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546</v>
      </c>
      <c r="B26" s="33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583</v>
      </c>
      <c r="G26" s="27" t="s">
        <v>1193</v>
      </c>
      <c r="H26" s="2">
        <v>50</v>
      </c>
      <c r="I26" s="2" t="s">
        <v>599</v>
      </c>
      <c r="J26" s="2" t="s">
        <v>600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547</v>
      </c>
      <c r="B27" s="33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584</v>
      </c>
      <c r="G27" s="27" t="s">
        <v>1193</v>
      </c>
      <c r="H27" s="2">
        <v>50</v>
      </c>
      <c r="I27" s="2" t="s">
        <v>599</v>
      </c>
      <c r="J27" s="2" t="s">
        <v>600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548</v>
      </c>
      <c r="B28" s="33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585</v>
      </c>
      <c r="G28" s="27" t="s">
        <v>1193</v>
      </c>
      <c r="H28" s="2">
        <v>50</v>
      </c>
      <c r="I28" s="2" t="s">
        <v>599</v>
      </c>
      <c r="J28" s="2" t="s">
        <v>600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549</v>
      </c>
      <c r="B29" s="33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586</v>
      </c>
      <c r="G29" s="27" t="s">
        <v>1193</v>
      </c>
      <c r="H29" s="2">
        <v>50</v>
      </c>
      <c r="I29" s="2" t="s">
        <v>599</v>
      </c>
      <c r="J29" s="2" t="s">
        <v>600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550</v>
      </c>
      <c r="B30" s="33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7" t="s">
        <v>1193</v>
      </c>
      <c r="H30" s="2">
        <v>50</v>
      </c>
      <c r="I30" s="2" t="s">
        <v>599</v>
      </c>
      <c r="J30" s="2" t="s">
        <v>600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551</v>
      </c>
      <c r="B31" s="33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587</v>
      </c>
      <c r="G31" s="27" t="s">
        <v>1193</v>
      </c>
      <c r="H31" s="2">
        <v>50</v>
      </c>
      <c r="I31" s="2" t="s">
        <v>599</v>
      </c>
      <c r="J31" s="2" t="s">
        <v>600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552</v>
      </c>
      <c r="B32" s="33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588</v>
      </c>
      <c r="G32" s="27" t="s">
        <v>1193</v>
      </c>
      <c r="H32" s="2">
        <v>50</v>
      </c>
      <c r="I32" s="2" t="s">
        <v>599</v>
      </c>
      <c r="J32" s="2" t="s">
        <v>600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553</v>
      </c>
      <c r="B33" s="33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589</v>
      </c>
      <c r="G33" s="27" t="s">
        <v>1193</v>
      </c>
      <c r="H33" s="2">
        <v>50</v>
      </c>
      <c r="I33" s="2" t="s">
        <v>599</v>
      </c>
      <c r="J33" s="2" t="s">
        <v>600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554</v>
      </c>
      <c r="B34" s="33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590</v>
      </c>
      <c r="G34" s="27" t="s">
        <v>1193</v>
      </c>
      <c r="H34" s="2">
        <v>50</v>
      </c>
      <c r="I34" s="2" t="s">
        <v>599</v>
      </c>
      <c r="J34" s="2" t="s">
        <v>600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555</v>
      </c>
      <c r="B35" s="33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591</v>
      </c>
      <c r="G35" s="27" t="s">
        <v>1193</v>
      </c>
      <c r="H35" s="2">
        <v>50</v>
      </c>
      <c r="I35" s="2" t="s">
        <v>599</v>
      </c>
      <c r="J35" s="2" t="s">
        <v>600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556</v>
      </c>
      <c r="B36" s="33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592</v>
      </c>
      <c r="G36" s="27" t="s">
        <v>1193</v>
      </c>
      <c r="H36" s="2">
        <v>50</v>
      </c>
      <c r="I36" s="2" t="s">
        <v>599</v>
      </c>
      <c r="J36" s="2" t="s">
        <v>600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557</v>
      </c>
      <c r="B37" s="33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593</v>
      </c>
      <c r="G37" s="27" t="s">
        <v>1193</v>
      </c>
      <c r="H37" s="2">
        <v>50</v>
      </c>
      <c r="I37" s="2" t="s">
        <v>599</v>
      </c>
      <c r="J37" s="2" t="s">
        <v>600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558</v>
      </c>
      <c r="B38" s="33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594</v>
      </c>
      <c r="G38" s="27" t="s">
        <v>1193</v>
      </c>
      <c r="H38" s="2">
        <v>50</v>
      </c>
      <c r="I38" s="2" t="s">
        <v>599</v>
      </c>
      <c r="J38" s="2" t="s">
        <v>600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559</v>
      </c>
      <c r="B39" s="33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595</v>
      </c>
      <c r="G39" s="27" t="s">
        <v>1193</v>
      </c>
      <c r="H39" s="2">
        <v>50</v>
      </c>
      <c r="I39" s="2" t="s">
        <v>599</v>
      </c>
      <c r="J39" s="2" t="s">
        <v>600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560</v>
      </c>
      <c r="B40" s="33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596</v>
      </c>
      <c r="G40" s="27" t="s">
        <v>1193</v>
      </c>
      <c r="H40" s="2">
        <v>50</v>
      </c>
      <c r="I40" s="2" t="s">
        <v>599</v>
      </c>
      <c r="J40" s="2" t="s">
        <v>600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561</v>
      </c>
      <c r="B41" s="33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597</v>
      </c>
      <c r="G41" s="27" t="s">
        <v>1193</v>
      </c>
      <c r="H41" s="2">
        <v>50</v>
      </c>
      <c r="I41" s="2" t="s">
        <v>599</v>
      </c>
      <c r="J41" s="2" t="s">
        <v>600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562</v>
      </c>
      <c r="B42" s="33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598</v>
      </c>
      <c r="G42" s="27" t="s">
        <v>1193</v>
      </c>
      <c r="H42" s="2">
        <v>50</v>
      </c>
      <c r="I42" s="2" t="s">
        <v>599</v>
      </c>
      <c r="J42" s="2" t="s">
        <v>600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1107</v>
      </c>
      <c r="B43" s="33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629</v>
      </c>
      <c r="G43" s="27" t="s">
        <v>1193</v>
      </c>
      <c r="H43" s="2">
        <v>50</v>
      </c>
      <c r="I43" s="2" t="s">
        <v>599</v>
      </c>
      <c r="J43" s="2" t="s">
        <v>680</v>
      </c>
      <c r="K43" s="2" t="s">
        <v>681</v>
      </c>
      <c r="L43" s="2" t="s">
        <v>1108</v>
      </c>
      <c r="M43" s="2"/>
      <c r="N43" s="2"/>
    </row>
    <row r="44" spans="1:14" x14ac:dyDescent="0.35">
      <c r="A44" s="2" t="s">
        <v>707</v>
      </c>
      <c r="B44" s="33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7" t="s">
        <v>1193</v>
      </c>
      <c r="H44" s="2">
        <v>50</v>
      </c>
      <c r="I44" s="2" t="s">
        <v>599</v>
      </c>
      <c r="J44" s="2" t="s">
        <v>680</v>
      </c>
      <c r="K44" s="2" t="s">
        <v>681</v>
      </c>
      <c r="L44" s="2">
        <v>4700</v>
      </c>
      <c r="M44" s="2"/>
      <c r="N44" s="2"/>
    </row>
    <row r="45" spans="1:14" x14ac:dyDescent="0.35">
      <c r="A45" s="2" t="s">
        <v>709</v>
      </c>
      <c r="B45" s="33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632</v>
      </c>
      <c r="G45" s="27" t="s">
        <v>1193</v>
      </c>
      <c r="H45" s="2">
        <v>35</v>
      </c>
      <c r="I45" s="2" t="s">
        <v>599</v>
      </c>
      <c r="J45" s="2" t="s">
        <v>682</v>
      </c>
      <c r="K45" s="2" t="s">
        <v>683</v>
      </c>
      <c r="L45" s="2">
        <v>10000</v>
      </c>
      <c r="M45" s="2"/>
      <c r="N45" s="2"/>
    </row>
    <row r="46" spans="1:14" x14ac:dyDescent="0.35">
      <c r="A46" s="2" t="s">
        <v>708</v>
      </c>
      <c r="B46" s="33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634</v>
      </c>
      <c r="G46" s="27" t="s">
        <v>1193</v>
      </c>
      <c r="H46" s="2">
        <v>25</v>
      </c>
      <c r="I46" s="2" t="s">
        <v>599</v>
      </c>
      <c r="J46" s="2" t="s">
        <v>682</v>
      </c>
      <c r="K46" s="2" t="s">
        <v>683</v>
      </c>
      <c r="L46" s="2">
        <v>22000</v>
      </c>
      <c r="M46" s="2"/>
      <c r="N46" s="2"/>
    </row>
    <row r="47" spans="1:14" x14ac:dyDescent="0.35">
      <c r="A47" s="2" t="s">
        <v>947</v>
      </c>
      <c r="B47" s="33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7" t="s">
        <v>1193</v>
      </c>
      <c r="H47" s="2">
        <v>1000</v>
      </c>
      <c r="I47" s="2" t="s">
        <v>599</v>
      </c>
      <c r="J47" s="2" t="s">
        <v>945</v>
      </c>
      <c r="K47" s="2" t="s">
        <v>946</v>
      </c>
      <c r="L47" s="2">
        <v>100</v>
      </c>
      <c r="M47" s="2"/>
      <c r="N47" s="2"/>
    </row>
    <row r="48" spans="1:14" x14ac:dyDescent="0.3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7" t="s">
        <v>1193</v>
      </c>
      <c r="H48" s="2">
        <v>1000</v>
      </c>
      <c r="I48" s="2" t="s">
        <v>599</v>
      </c>
      <c r="J48" s="2" t="s">
        <v>682</v>
      </c>
      <c r="K48" s="2" t="s">
        <v>683</v>
      </c>
      <c r="L48" s="2" t="s">
        <v>1114</v>
      </c>
      <c r="M48" s="2" t="s">
        <v>1404</v>
      </c>
      <c r="N48" s="2" t="s">
        <v>1423</v>
      </c>
    </row>
    <row r="49" spans="1:14" x14ac:dyDescent="0.35">
      <c r="A49" s="2" t="s">
        <v>1413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1413</v>
      </c>
      <c r="D49" s="2" t="s">
        <v>30</v>
      </c>
      <c r="E49" s="2" t="s">
        <v>27</v>
      </c>
      <c r="F49" s="2" t="s">
        <v>1409</v>
      </c>
      <c r="G49" s="36" t="s">
        <v>1410</v>
      </c>
      <c r="H49" s="2" t="s">
        <v>1411</v>
      </c>
      <c r="I49" s="2" t="s">
        <v>1412</v>
      </c>
      <c r="J49" s="2" t="s">
        <v>600</v>
      </c>
      <c r="K49" s="2" t="s">
        <v>37</v>
      </c>
      <c r="L49" s="2" t="s">
        <v>1414</v>
      </c>
      <c r="M49" s="2" t="s">
        <v>1415</v>
      </c>
      <c r="N49" s="2" t="s">
        <v>1423</v>
      </c>
    </row>
    <row r="50" spans="1:14" x14ac:dyDescent="0.35">
      <c r="A50" s="2" t="s">
        <v>1442</v>
      </c>
      <c r="B50" s="35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6" t="s">
        <v>1193</v>
      </c>
      <c r="H50" s="2" t="s">
        <v>384</v>
      </c>
      <c r="I50" s="2" t="s">
        <v>599</v>
      </c>
      <c r="J50" s="2" t="s">
        <v>1441</v>
      </c>
      <c r="K50" s="2" t="s">
        <v>1440</v>
      </c>
      <c r="L50" s="2">
        <v>100</v>
      </c>
      <c r="M50" s="2"/>
      <c r="N50" s="2" t="s">
        <v>1423</v>
      </c>
    </row>
    <row r="51" spans="1:14" x14ac:dyDescent="0.35">
      <c r="A51" s="2" t="s">
        <v>1585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1585</v>
      </c>
      <c r="D51" s="2" t="s">
        <v>30</v>
      </c>
      <c r="E51" s="2" t="s">
        <v>27</v>
      </c>
      <c r="F51" s="2" t="s">
        <v>638</v>
      </c>
      <c r="G51" s="36" t="s">
        <v>1586</v>
      </c>
      <c r="H51" s="2" t="s">
        <v>384</v>
      </c>
      <c r="I51" s="2" t="s">
        <v>1587</v>
      </c>
      <c r="J51" s="2" t="s">
        <v>682</v>
      </c>
      <c r="K51" s="2" t="s">
        <v>683</v>
      </c>
      <c r="L51" s="2" t="s">
        <v>1588</v>
      </c>
      <c r="M51" s="2" t="s">
        <v>1589</v>
      </c>
      <c r="N51" s="2" t="s">
        <v>1423</v>
      </c>
    </row>
    <row r="52" spans="1:14" x14ac:dyDescent="0.35">
      <c r="A52" s="2" t="s">
        <v>1584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1584</v>
      </c>
      <c r="D52" s="2" t="s">
        <v>30</v>
      </c>
      <c r="E52" s="2" t="s">
        <v>27</v>
      </c>
      <c r="F52" s="2" t="s">
        <v>636</v>
      </c>
      <c r="G52" s="36" t="s">
        <v>1586</v>
      </c>
      <c r="H52" s="2" t="s">
        <v>1590</v>
      </c>
      <c r="I52" s="2" t="s">
        <v>1587</v>
      </c>
      <c r="J52" s="2" t="s">
        <v>680</v>
      </c>
      <c r="K52" s="2" t="s">
        <v>681</v>
      </c>
      <c r="L52" s="2" t="s">
        <v>1591</v>
      </c>
      <c r="M52" s="2" t="s">
        <v>1415</v>
      </c>
      <c r="N52" s="2" t="s">
        <v>1423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5" x14ac:dyDescent="0.35"/>
  <cols>
    <col min="1" max="1" width="27.54296875" bestFit="1" customWidth="1"/>
    <col min="2" max="2" width="23.36328125" bestFit="1" customWidth="1"/>
    <col min="3" max="3" width="12.36328125" bestFit="1" customWidth="1"/>
    <col min="4" max="4" width="29.453125" bestFit="1" customWidth="1"/>
    <col min="5" max="5" width="14.36328125" bestFit="1" customWidth="1"/>
    <col min="6" max="6" width="8.36328125" bestFit="1" customWidth="1"/>
    <col min="7" max="7" width="12.36328125" bestFit="1" customWidth="1"/>
    <col min="8" max="8" width="13" bestFit="1" customWidth="1"/>
    <col min="9" max="9" width="8.6328125" bestFit="1" customWidth="1"/>
    <col min="10" max="10" width="30.36328125" bestFit="1" customWidth="1"/>
    <col min="11" max="11" width="16.6328125" bestFit="1" customWidth="1"/>
    <col min="12" max="12" width="14.6328125" bestFit="1" customWidth="1"/>
    <col min="13" max="13" width="19.36328125" customWidth="1"/>
    <col min="14" max="14" width="18.453125" customWidth="1"/>
    <col min="15" max="15" width="13.36328125" customWidth="1"/>
  </cols>
  <sheetData>
    <row r="1" spans="1:16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606</v>
      </c>
      <c r="J1" s="6" t="s">
        <v>12</v>
      </c>
      <c r="K1" s="6" t="s">
        <v>8</v>
      </c>
      <c r="L1" s="9" t="s">
        <v>605</v>
      </c>
      <c r="M1" s="6" t="s">
        <v>13</v>
      </c>
      <c r="N1" s="6" t="s">
        <v>9</v>
      </c>
      <c r="O1" s="8" t="s">
        <v>955</v>
      </c>
      <c r="P1" s="8" t="s">
        <v>1422</v>
      </c>
    </row>
    <row r="2" spans="1:16" x14ac:dyDescent="0.35">
      <c r="A2" s="2" t="s">
        <v>607</v>
      </c>
      <c r="B2" s="2" t="s">
        <v>626</v>
      </c>
      <c r="C2" s="2" t="s">
        <v>27</v>
      </c>
      <c r="D2" s="2" t="s">
        <v>627</v>
      </c>
      <c r="E2" s="2" t="s">
        <v>39</v>
      </c>
      <c r="F2" s="2" t="s">
        <v>598</v>
      </c>
      <c r="G2">
        <v>0.1</v>
      </c>
      <c r="H2">
        <v>50</v>
      </c>
      <c r="I2" s="2" t="s">
        <v>645</v>
      </c>
      <c r="J2" s="2" t="s">
        <v>646</v>
      </c>
      <c r="K2" s="2" t="s">
        <v>121</v>
      </c>
      <c r="L2">
        <v>1</v>
      </c>
    </row>
    <row r="3" spans="1:16" x14ac:dyDescent="0.35">
      <c r="A3" s="2" t="s">
        <v>608</v>
      </c>
      <c r="B3" s="2" t="s">
        <v>626</v>
      </c>
      <c r="C3" s="2" t="s">
        <v>27</v>
      </c>
      <c r="D3" s="2" t="s">
        <v>627</v>
      </c>
      <c r="E3" s="2" t="s">
        <v>39</v>
      </c>
      <c r="F3" s="2" t="s">
        <v>628</v>
      </c>
      <c r="G3">
        <v>0.1</v>
      </c>
      <c r="H3">
        <v>50</v>
      </c>
      <c r="I3" s="2" t="s">
        <v>645</v>
      </c>
      <c r="J3" s="2" t="s">
        <v>646</v>
      </c>
      <c r="K3" s="2" t="s">
        <v>121</v>
      </c>
      <c r="L3">
        <v>1.5</v>
      </c>
    </row>
    <row r="4" spans="1:16" x14ac:dyDescent="0.35">
      <c r="A4" s="2" t="s">
        <v>609</v>
      </c>
      <c r="B4" s="2" t="s">
        <v>626</v>
      </c>
      <c r="C4" s="2" t="s">
        <v>27</v>
      </c>
      <c r="D4" s="2" t="s">
        <v>627</v>
      </c>
      <c r="E4" s="2" t="s">
        <v>39</v>
      </c>
      <c r="F4" s="2" t="s">
        <v>629</v>
      </c>
      <c r="G4">
        <v>0.1</v>
      </c>
      <c r="H4">
        <v>50</v>
      </c>
      <c r="I4" s="2" t="s">
        <v>645</v>
      </c>
      <c r="J4" s="2" t="s">
        <v>646</v>
      </c>
      <c r="K4" s="2" t="s">
        <v>121</v>
      </c>
      <c r="L4">
        <v>2.2000000000000002</v>
      </c>
    </row>
    <row r="5" spans="1:16" x14ac:dyDescent="0.35">
      <c r="A5" s="2" t="s">
        <v>610</v>
      </c>
      <c r="B5" s="2" t="s">
        <v>626</v>
      </c>
      <c r="C5" s="2" t="s">
        <v>27</v>
      </c>
      <c r="D5" s="2" t="s">
        <v>627</v>
      </c>
      <c r="E5" s="2" t="s">
        <v>39</v>
      </c>
      <c r="F5" s="2" t="s">
        <v>630</v>
      </c>
      <c r="G5">
        <v>0.1</v>
      </c>
      <c r="H5">
        <v>50</v>
      </c>
      <c r="I5" s="2" t="s">
        <v>645</v>
      </c>
      <c r="J5" s="2" t="s">
        <v>646</v>
      </c>
      <c r="K5" s="2" t="s">
        <v>121</v>
      </c>
      <c r="L5">
        <v>3.3</v>
      </c>
    </row>
    <row r="6" spans="1:16" x14ac:dyDescent="0.35">
      <c r="A6" s="2" t="s">
        <v>611</v>
      </c>
      <c r="B6" s="2" t="s">
        <v>626</v>
      </c>
      <c r="C6" s="2" t="s">
        <v>27</v>
      </c>
      <c r="D6" s="2" t="s">
        <v>627</v>
      </c>
      <c r="E6" s="2" t="s">
        <v>39</v>
      </c>
      <c r="F6" s="2" t="s">
        <v>41</v>
      </c>
      <c r="G6">
        <v>0.1</v>
      </c>
      <c r="H6">
        <v>50</v>
      </c>
      <c r="I6" s="2" t="s">
        <v>645</v>
      </c>
      <c r="J6" s="2" t="s">
        <v>646</v>
      </c>
      <c r="K6" s="2" t="s">
        <v>121</v>
      </c>
      <c r="L6">
        <v>4.7</v>
      </c>
    </row>
    <row r="7" spans="1:16" x14ac:dyDescent="0.35">
      <c r="A7" s="2" t="s">
        <v>612</v>
      </c>
      <c r="B7" s="2" t="s">
        <v>626</v>
      </c>
      <c r="C7" s="2" t="s">
        <v>27</v>
      </c>
      <c r="D7" s="2" t="s">
        <v>627</v>
      </c>
      <c r="E7" s="2" t="s">
        <v>39</v>
      </c>
      <c r="F7" s="2" t="s">
        <v>631</v>
      </c>
      <c r="G7">
        <v>0.1</v>
      </c>
      <c r="H7">
        <v>50</v>
      </c>
      <c r="I7" s="2" t="s">
        <v>645</v>
      </c>
      <c r="J7" s="2" t="s">
        <v>646</v>
      </c>
      <c r="K7" s="2" t="s">
        <v>121</v>
      </c>
      <c r="L7">
        <v>6.8</v>
      </c>
    </row>
    <row r="8" spans="1:16" x14ac:dyDescent="0.35">
      <c r="A8" s="2" t="s">
        <v>613</v>
      </c>
      <c r="B8" s="2" t="s">
        <v>626</v>
      </c>
      <c r="C8" s="2" t="s">
        <v>27</v>
      </c>
      <c r="D8" s="2" t="s">
        <v>627</v>
      </c>
      <c r="E8" s="2" t="s">
        <v>39</v>
      </c>
      <c r="F8" s="2" t="s">
        <v>632</v>
      </c>
      <c r="G8">
        <v>0.1</v>
      </c>
      <c r="H8">
        <v>50</v>
      </c>
      <c r="I8" s="2" t="s">
        <v>645</v>
      </c>
      <c r="J8" s="2" t="s">
        <v>646</v>
      </c>
      <c r="K8" s="2" t="s">
        <v>121</v>
      </c>
      <c r="L8">
        <v>10</v>
      </c>
    </row>
    <row r="9" spans="1:16" x14ac:dyDescent="0.35">
      <c r="A9" s="2" t="s">
        <v>614</v>
      </c>
      <c r="B9" s="2" t="s">
        <v>626</v>
      </c>
      <c r="C9" s="2" t="s">
        <v>27</v>
      </c>
      <c r="D9" s="2" t="s">
        <v>627</v>
      </c>
      <c r="E9" s="2" t="s">
        <v>39</v>
      </c>
      <c r="F9" s="2" t="s">
        <v>633</v>
      </c>
      <c r="G9">
        <v>0.1</v>
      </c>
      <c r="H9">
        <v>50</v>
      </c>
      <c r="I9" s="2" t="s">
        <v>645</v>
      </c>
      <c r="J9" s="2" t="s">
        <v>646</v>
      </c>
      <c r="K9" s="2" t="s">
        <v>121</v>
      </c>
      <c r="L9">
        <v>15</v>
      </c>
    </row>
    <row r="10" spans="1:16" x14ac:dyDescent="0.35">
      <c r="A10" s="2" t="s">
        <v>615</v>
      </c>
      <c r="B10" s="2" t="s">
        <v>626</v>
      </c>
      <c r="C10" s="2" t="s">
        <v>27</v>
      </c>
      <c r="D10" s="2" t="s">
        <v>627</v>
      </c>
      <c r="E10" s="2" t="s">
        <v>39</v>
      </c>
      <c r="F10" s="2" t="s">
        <v>634</v>
      </c>
      <c r="G10">
        <v>0.1</v>
      </c>
      <c r="H10">
        <v>50</v>
      </c>
      <c r="I10" s="2" t="s">
        <v>645</v>
      </c>
      <c r="J10" s="2" t="s">
        <v>646</v>
      </c>
      <c r="K10" s="2" t="s">
        <v>121</v>
      </c>
      <c r="L10">
        <v>22</v>
      </c>
    </row>
    <row r="11" spans="1:16" x14ac:dyDescent="0.35">
      <c r="A11" s="2" t="s">
        <v>616</v>
      </c>
      <c r="B11" s="2" t="s">
        <v>626</v>
      </c>
      <c r="C11" s="2" t="s">
        <v>27</v>
      </c>
      <c r="D11" s="2" t="s">
        <v>627</v>
      </c>
      <c r="E11" s="2" t="s">
        <v>39</v>
      </c>
      <c r="F11" s="2" t="s">
        <v>635</v>
      </c>
      <c r="G11">
        <v>0.1</v>
      </c>
      <c r="H11">
        <v>50</v>
      </c>
      <c r="I11" s="2" t="s">
        <v>645</v>
      </c>
      <c r="J11" s="2" t="s">
        <v>646</v>
      </c>
      <c r="K11" s="2" t="s">
        <v>121</v>
      </c>
      <c r="L11">
        <v>33</v>
      </c>
    </row>
    <row r="12" spans="1:16" x14ac:dyDescent="0.35">
      <c r="A12" s="2" t="s">
        <v>617</v>
      </c>
      <c r="B12" s="2" t="s">
        <v>626</v>
      </c>
      <c r="C12" s="2" t="s">
        <v>27</v>
      </c>
      <c r="D12" s="2" t="s">
        <v>627</v>
      </c>
      <c r="E12" s="2" t="s">
        <v>39</v>
      </c>
      <c r="F12" s="2" t="s">
        <v>636</v>
      </c>
      <c r="G12">
        <v>0.1</v>
      </c>
      <c r="H12">
        <v>50</v>
      </c>
      <c r="I12" s="2" t="s">
        <v>645</v>
      </c>
      <c r="J12" s="2" t="s">
        <v>646</v>
      </c>
      <c r="K12" s="2" t="s">
        <v>121</v>
      </c>
      <c r="L12">
        <v>47</v>
      </c>
    </row>
    <row r="13" spans="1:16" x14ac:dyDescent="0.35">
      <c r="A13" s="2" t="s">
        <v>618</v>
      </c>
      <c r="B13" s="2" t="s">
        <v>626</v>
      </c>
      <c r="C13" s="2" t="s">
        <v>27</v>
      </c>
      <c r="D13" s="2" t="s">
        <v>627</v>
      </c>
      <c r="E13" s="2" t="s">
        <v>39</v>
      </c>
      <c r="F13" s="2" t="s">
        <v>637</v>
      </c>
      <c r="G13">
        <v>0.1</v>
      </c>
      <c r="H13">
        <v>50</v>
      </c>
      <c r="I13" s="2" t="s">
        <v>645</v>
      </c>
      <c r="J13" s="2" t="s">
        <v>646</v>
      </c>
      <c r="K13" s="2" t="s">
        <v>121</v>
      </c>
      <c r="L13">
        <v>68</v>
      </c>
    </row>
    <row r="14" spans="1:16" x14ac:dyDescent="0.35">
      <c r="A14" s="2" t="s">
        <v>619</v>
      </c>
      <c r="B14" s="2" t="s">
        <v>626</v>
      </c>
      <c r="C14" s="2" t="s">
        <v>27</v>
      </c>
      <c r="D14" s="2" t="s">
        <v>627</v>
      </c>
      <c r="E14" s="2" t="s">
        <v>39</v>
      </c>
      <c r="F14" s="2" t="s">
        <v>638</v>
      </c>
      <c r="G14">
        <v>0.1</v>
      </c>
      <c r="H14">
        <v>50</v>
      </c>
      <c r="I14" s="2" t="s">
        <v>645</v>
      </c>
      <c r="J14" s="2" t="s">
        <v>646</v>
      </c>
      <c r="K14" s="2" t="s">
        <v>121</v>
      </c>
      <c r="L14">
        <v>100</v>
      </c>
    </row>
    <row r="15" spans="1:16" x14ac:dyDescent="0.35">
      <c r="A15" s="2" t="s">
        <v>620</v>
      </c>
      <c r="B15" s="2" t="s">
        <v>626</v>
      </c>
      <c r="C15" s="2" t="s">
        <v>27</v>
      </c>
      <c r="D15" s="2" t="s">
        <v>627</v>
      </c>
      <c r="E15" s="2" t="s">
        <v>39</v>
      </c>
      <c r="F15" s="2" t="s">
        <v>639</v>
      </c>
      <c r="G15">
        <v>0.1</v>
      </c>
      <c r="H15">
        <v>50</v>
      </c>
      <c r="I15" s="2" t="s">
        <v>645</v>
      </c>
      <c r="J15" s="2" t="s">
        <v>646</v>
      </c>
      <c r="K15" s="2" t="s">
        <v>121</v>
      </c>
      <c r="L15">
        <v>150</v>
      </c>
    </row>
    <row r="16" spans="1:16" x14ac:dyDescent="0.35">
      <c r="A16" s="2" t="s">
        <v>621</v>
      </c>
      <c r="B16" s="2" t="s">
        <v>626</v>
      </c>
      <c r="C16" s="2" t="s">
        <v>27</v>
      </c>
      <c r="D16" s="2" t="s">
        <v>627</v>
      </c>
      <c r="E16" s="2" t="s">
        <v>39</v>
      </c>
      <c r="F16" s="2" t="s">
        <v>640</v>
      </c>
      <c r="G16">
        <v>0.1</v>
      </c>
      <c r="H16">
        <v>50</v>
      </c>
      <c r="I16" s="2" t="s">
        <v>645</v>
      </c>
      <c r="J16" s="2" t="s">
        <v>646</v>
      </c>
      <c r="K16" s="2" t="s">
        <v>121</v>
      </c>
      <c r="L16">
        <v>220</v>
      </c>
    </row>
    <row r="17" spans="1:16" x14ac:dyDescent="0.35">
      <c r="A17" s="2" t="s">
        <v>622</v>
      </c>
      <c r="B17" s="2" t="s">
        <v>626</v>
      </c>
      <c r="C17" s="2" t="s">
        <v>27</v>
      </c>
      <c r="D17" s="2" t="s">
        <v>627</v>
      </c>
      <c r="E17" s="2" t="s">
        <v>39</v>
      </c>
      <c r="F17" s="2" t="s">
        <v>641</v>
      </c>
      <c r="G17">
        <v>0.1</v>
      </c>
      <c r="H17">
        <v>50</v>
      </c>
      <c r="I17" s="2" t="s">
        <v>645</v>
      </c>
      <c r="J17" s="2" t="s">
        <v>646</v>
      </c>
      <c r="K17" s="2" t="s">
        <v>121</v>
      </c>
      <c r="L17">
        <v>330</v>
      </c>
    </row>
    <row r="18" spans="1:16" x14ac:dyDescent="0.35">
      <c r="A18" s="2" t="s">
        <v>623</v>
      </c>
      <c r="B18" s="2" t="s">
        <v>626</v>
      </c>
      <c r="C18" s="2" t="s">
        <v>27</v>
      </c>
      <c r="D18" s="2" t="s">
        <v>627</v>
      </c>
      <c r="E18" s="2" t="s">
        <v>39</v>
      </c>
      <c r="F18" s="2" t="s">
        <v>642</v>
      </c>
      <c r="G18">
        <v>0.1</v>
      </c>
      <c r="H18">
        <v>50</v>
      </c>
      <c r="I18" s="2" t="s">
        <v>645</v>
      </c>
      <c r="J18" s="2" t="s">
        <v>646</v>
      </c>
      <c r="K18" s="2" t="s">
        <v>121</v>
      </c>
      <c r="L18">
        <v>470</v>
      </c>
    </row>
    <row r="19" spans="1:16" x14ac:dyDescent="0.35">
      <c r="A19" s="2" t="s">
        <v>624</v>
      </c>
      <c r="B19" s="2" t="s">
        <v>626</v>
      </c>
      <c r="C19" s="2" t="s">
        <v>27</v>
      </c>
      <c r="D19" s="2" t="s">
        <v>627</v>
      </c>
      <c r="E19" s="2" t="s">
        <v>39</v>
      </c>
      <c r="F19" s="2" t="s">
        <v>643</v>
      </c>
      <c r="G19">
        <v>0.1</v>
      </c>
      <c r="H19">
        <v>50</v>
      </c>
      <c r="I19" s="2" t="s">
        <v>645</v>
      </c>
      <c r="J19" s="2" t="s">
        <v>646</v>
      </c>
      <c r="K19" s="2" t="s">
        <v>121</v>
      </c>
      <c r="L19">
        <v>680</v>
      </c>
    </row>
    <row r="20" spans="1:16" x14ac:dyDescent="0.35">
      <c r="A20" s="2" t="s">
        <v>625</v>
      </c>
      <c r="B20" s="2" t="s">
        <v>626</v>
      </c>
      <c r="C20" s="2" t="s">
        <v>27</v>
      </c>
      <c r="D20" s="2" t="s">
        <v>627</v>
      </c>
      <c r="E20" s="2" t="s">
        <v>39</v>
      </c>
      <c r="F20" s="2" t="s">
        <v>644</v>
      </c>
      <c r="G20">
        <v>0.1</v>
      </c>
      <c r="H20">
        <v>50</v>
      </c>
      <c r="I20" s="2" t="s">
        <v>645</v>
      </c>
      <c r="J20" s="2" t="s">
        <v>646</v>
      </c>
      <c r="K20" s="2" t="s">
        <v>121</v>
      </c>
      <c r="L20">
        <v>1000</v>
      </c>
    </row>
    <row r="21" spans="1:16" x14ac:dyDescent="0.35">
      <c r="A21" s="2" t="s">
        <v>735</v>
      </c>
      <c r="B21" t="s">
        <v>731</v>
      </c>
      <c r="C21" s="2" t="s">
        <v>27</v>
      </c>
      <c r="D21" s="2" t="s">
        <v>627</v>
      </c>
      <c r="E21" s="2" t="s">
        <v>39</v>
      </c>
      <c r="F21" s="2" t="s">
        <v>732</v>
      </c>
      <c r="G21">
        <v>20</v>
      </c>
      <c r="H21">
        <v>10</v>
      </c>
      <c r="I21" t="s">
        <v>733</v>
      </c>
      <c r="J21" s="2" t="s">
        <v>734</v>
      </c>
      <c r="K21" t="s">
        <v>730</v>
      </c>
      <c r="L21">
        <v>2200</v>
      </c>
      <c r="M21" s="2" t="s">
        <v>786</v>
      </c>
      <c r="N21" t="s">
        <v>787</v>
      </c>
    </row>
    <row r="22" spans="1:16" x14ac:dyDescent="0.35">
      <c r="A22" t="s">
        <v>741</v>
      </c>
      <c r="B22" t="s">
        <v>742</v>
      </c>
      <c r="C22" s="2" t="s">
        <v>27</v>
      </c>
      <c r="D22" s="2" t="s">
        <v>627</v>
      </c>
      <c r="E22" s="2" t="s">
        <v>39</v>
      </c>
      <c r="F22" s="2" t="s">
        <v>644</v>
      </c>
      <c r="G22">
        <v>20</v>
      </c>
      <c r="H22">
        <v>25</v>
      </c>
      <c r="I22" t="s">
        <v>898</v>
      </c>
      <c r="J22" s="2" t="s">
        <v>743</v>
      </c>
      <c r="K22" t="s">
        <v>744</v>
      </c>
      <c r="L22">
        <v>1000</v>
      </c>
      <c r="P22" t="s">
        <v>1423</v>
      </c>
    </row>
    <row r="23" spans="1:16" x14ac:dyDescent="0.35">
      <c r="A23" t="s">
        <v>899</v>
      </c>
      <c r="B23" t="s">
        <v>742</v>
      </c>
      <c r="C23" s="2" t="s">
        <v>27</v>
      </c>
      <c r="D23" s="2" t="s">
        <v>627</v>
      </c>
      <c r="E23" s="2" t="s">
        <v>39</v>
      </c>
      <c r="F23" s="2" t="s">
        <v>644</v>
      </c>
      <c r="G23">
        <v>20</v>
      </c>
      <c r="H23">
        <v>35</v>
      </c>
      <c r="I23" t="s">
        <v>898</v>
      </c>
      <c r="J23" s="2" t="s">
        <v>897</v>
      </c>
      <c r="K23" t="s">
        <v>896</v>
      </c>
      <c r="L23">
        <v>1000</v>
      </c>
      <c r="P23" t="s">
        <v>1423</v>
      </c>
    </row>
    <row r="24" spans="1:16" x14ac:dyDescent="0.35">
      <c r="A24" t="s">
        <v>922</v>
      </c>
      <c r="B24" t="s">
        <v>923</v>
      </c>
      <c r="C24" s="2" t="s">
        <v>27</v>
      </c>
      <c r="D24" s="2" t="s">
        <v>627</v>
      </c>
      <c r="E24" s="2" t="s">
        <v>39</v>
      </c>
      <c r="F24" t="s">
        <v>924</v>
      </c>
      <c r="G24">
        <v>20</v>
      </c>
      <c r="H24">
        <v>400</v>
      </c>
      <c r="I24" t="s">
        <v>733</v>
      </c>
      <c r="J24" s="2" t="s">
        <v>928</v>
      </c>
      <c r="K24" t="s">
        <v>929</v>
      </c>
      <c r="L24">
        <v>3.3</v>
      </c>
      <c r="M24" s="2" t="s">
        <v>927</v>
      </c>
      <c r="N24" t="s">
        <v>926</v>
      </c>
      <c r="P24" t="s">
        <v>1423</v>
      </c>
    </row>
    <row r="25" spans="1:16" x14ac:dyDescent="0.35">
      <c r="A25" t="s">
        <v>970</v>
      </c>
      <c r="B25" t="s">
        <v>971</v>
      </c>
      <c r="C25" s="2" t="s">
        <v>27</v>
      </c>
      <c r="D25" s="2" t="s">
        <v>627</v>
      </c>
      <c r="E25" s="2" t="s">
        <v>39</v>
      </c>
      <c r="F25" t="s">
        <v>972</v>
      </c>
      <c r="G25">
        <v>20</v>
      </c>
      <c r="H25">
        <v>400</v>
      </c>
      <c r="I25" t="s">
        <v>733</v>
      </c>
      <c r="J25" s="2" t="s">
        <v>974</v>
      </c>
      <c r="K25" t="s">
        <v>973</v>
      </c>
      <c r="L25">
        <v>2700</v>
      </c>
      <c r="P25" t="s">
        <v>1423</v>
      </c>
    </row>
    <row r="26" spans="1:16" x14ac:dyDescent="0.35">
      <c r="A26" t="s">
        <v>1134</v>
      </c>
      <c r="B26" t="s">
        <v>742</v>
      </c>
      <c r="C26" t="s">
        <v>27</v>
      </c>
      <c r="D26" t="s">
        <v>627</v>
      </c>
      <c r="E26" t="s">
        <v>39</v>
      </c>
      <c r="F26" t="s">
        <v>641</v>
      </c>
      <c r="G26">
        <v>20</v>
      </c>
      <c r="H26">
        <v>35</v>
      </c>
      <c r="I26" t="s">
        <v>898</v>
      </c>
      <c r="J26" t="s">
        <v>1135</v>
      </c>
      <c r="K26" t="s">
        <v>1136</v>
      </c>
      <c r="L26">
        <v>330</v>
      </c>
    </row>
    <row r="27" spans="1:16" x14ac:dyDescent="0.35">
      <c r="A27" t="s">
        <v>1137</v>
      </c>
      <c r="B27" t="s">
        <v>1138</v>
      </c>
      <c r="C27" t="s">
        <v>27</v>
      </c>
      <c r="D27" t="s">
        <v>627</v>
      </c>
      <c r="E27" t="s">
        <v>39</v>
      </c>
      <c r="F27" t="s">
        <v>638</v>
      </c>
      <c r="G27">
        <v>20</v>
      </c>
      <c r="H27">
        <v>35</v>
      </c>
      <c r="I27" t="s">
        <v>898</v>
      </c>
      <c r="J27" t="s">
        <v>1139</v>
      </c>
      <c r="K27" t="s">
        <v>1140</v>
      </c>
      <c r="L27">
        <v>100</v>
      </c>
    </row>
    <row r="28" spans="1:16" x14ac:dyDescent="0.35">
      <c r="A28" t="s">
        <v>1426</v>
      </c>
      <c r="B28" t="s">
        <v>1427</v>
      </c>
      <c r="D28" t="s">
        <v>627</v>
      </c>
      <c r="E28" t="s">
        <v>39</v>
      </c>
      <c r="F28" t="s">
        <v>642</v>
      </c>
      <c r="G28">
        <v>20</v>
      </c>
      <c r="H28">
        <v>16</v>
      </c>
      <c r="I28" t="s">
        <v>898</v>
      </c>
      <c r="J28" t="s">
        <v>1135</v>
      </c>
      <c r="K28" t="s">
        <v>1136</v>
      </c>
      <c r="L28">
        <v>470</v>
      </c>
      <c r="O28" t="s">
        <v>1428</v>
      </c>
      <c r="P28" t="s">
        <v>1423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7"/>
  <sheetViews>
    <sheetView topLeftCell="D1" zoomScale="85" zoomScaleNormal="85" workbookViewId="0">
      <selection activeCell="P1" sqref="P1:R1"/>
    </sheetView>
  </sheetViews>
  <sheetFormatPr defaultRowHeight="14.5" x14ac:dyDescent="0.35"/>
  <cols>
    <col min="1" max="1" width="14.6328125" customWidth="1"/>
    <col min="2" max="2" width="77.6328125" customWidth="1"/>
    <col min="3" max="3" width="12" customWidth="1"/>
    <col min="4" max="4" width="27.36328125" customWidth="1"/>
    <col min="5" max="5" width="12.6328125" customWidth="1"/>
    <col min="6" max="6" width="36.36328125" customWidth="1"/>
    <col min="7" max="7" width="16.6328125" customWidth="1"/>
    <col min="8" max="8" width="18.36328125" customWidth="1"/>
    <col min="9" max="9" width="16.6328125" customWidth="1"/>
    <col min="10" max="10" width="18.36328125" customWidth="1"/>
    <col min="11" max="11" width="16.6328125" customWidth="1"/>
    <col min="12" max="12" width="18.36328125" customWidth="1"/>
    <col min="13" max="13" width="16.63281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3632812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661</v>
      </c>
      <c r="O1" s="1" t="s">
        <v>1455</v>
      </c>
      <c r="P1" s="1" t="s">
        <v>25</v>
      </c>
      <c r="Q1" s="1" t="s">
        <v>955</v>
      </c>
      <c r="R1" s="48" t="s">
        <v>1422</v>
      </c>
    </row>
    <row r="2" spans="1:18" x14ac:dyDescent="0.3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1466</v>
      </c>
      <c r="P3" s="2" t="str">
        <f t="shared" ref="P3:P13" si="2">CONCATENATE(N3, " мк")</f>
        <v>33 мк</v>
      </c>
    </row>
    <row r="4" spans="1:18" x14ac:dyDescent="0.35">
      <c r="A4" s="2" t="s">
        <v>660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662</v>
      </c>
      <c r="H4" s="2"/>
      <c r="I4" s="2"/>
      <c r="J4" s="2"/>
      <c r="K4" s="2"/>
      <c r="L4" s="2"/>
      <c r="M4" s="2"/>
      <c r="N4" s="18">
        <v>68</v>
      </c>
      <c r="O4" s="2" t="s">
        <v>1467</v>
      </c>
      <c r="P4" s="2" t="str">
        <f t="shared" si="2"/>
        <v>68 мк</v>
      </c>
    </row>
    <row r="5" spans="1:18" x14ac:dyDescent="0.35">
      <c r="A5" t="s">
        <v>692</v>
      </c>
      <c r="B5" t="s">
        <v>693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694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1468</v>
      </c>
      <c r="P5" t="str">
        <f t="shared" si="2"/>
        <v>4,7 мк</v>
      </c>
    </row>
    <row r="6" spans="1:18" x14ac:dyDescent="0.35">
      <c r="A6" t="s">
        <v>719</v>
      </c>
      <c r="B6" t="s">
        <v>720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1458</v>
      </c>
      <c r="P6" t="str">
        <f t="shared" si="2"/>
        <v>22 мк</v>
      </c>
    </row>
    <row r="7" spans="1:18" x14ac:dyDescent="0.35">
      <c r="A7" t="s">
        <v>776</v>
      </c>
      <c r="B7" t="s">
        <v>858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777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1469</v>
      </c>
      <c r="P7" t="str">
        <f t="shared" si="2"/>
        <v>22 мк</v>
      </c>
    </row>
    <row r="8" spans="1:18" x14ac:dyDescent="0.35">
      <c r="A8" t="s">
        <v>859</v>
      </c>
      <c r="B8" t="s">
        <v>857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1470</v>
      </c>
      <c r="P8" t="str">
        <f t="shared" si="2"/>
        <v>0,33 мк</v>
      </c>
    </row>
    <row r="9" spans="1:18" x14ac:dyDescent="0.35">
      <c r="A9" t="s">
        <v>866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867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1471</v>
      </c>
      <c r="P9" s="2" t="str">
        <f t="shared" si="2"/>
        <v>68 мк</v>
      </c>
    </row>
    <row r="10" spans="1:18" x14ac:dyDescent="0.35">
      <c r="A10" t="s">
        <v>869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1469</v>
      </c>
      <c r="P10" s="2" t="str">
        <f t="shared" si="2"/>
        <v>12 мк</v>
      </c>
    </row>
    <row r="11" spans="1:18" x14ac:dyDescent="0.35">
      <c r="A11" t="s">
        <v>905</v>
      </c>
      <c r="B11" t="s">
        <v>906</v>
      </c>
      <c r="C11" t="s">
        <v>948</v>
      </c>
      <c r="D11" s="2" t="s">
        <v>907</v>
      </c>
      <c r="E11" s="2" t="s">
        <v>905</v>
      </c>
      <c r="F11" s="2" t="str">
        <f t="shared" si="12"/>
        <v>Footprints\Inductance\M20VN.PcbLib</v>
      </c>
      <c r="G11" s="2" t="s">
        <v>905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1470</v>
      </c>
      <c r="P11" t="s">
        <v>908</v>
      </c>
      <c r="R11" t="s">
        <v>1423</v>
      </c>
    </row>
    <row r="12" spans="1:18" x14ac:dyDescent="0.35">
      <c r="A12" t="s">
        <v>919</v>
      </c>
      <c r="B12" t="s">
        <v>920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1472</v>
      </c>
      <c r="P12" s="2" t="str">
        <f t="shared" si="2"/>
        <v>47 мк</v>
      </c>
    </row>
    <row r="13" spans="1:18" x14ac:dyDescent="0.35">
      <c r="A13" t="s">
        <v>921</v>
      </c>
      <c r="B13" t="s">
        <v>925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1472</v>
      </c>
      <c r="P13" s="2" t="str">
        <f t="shared" si="2"/>
        <v>100 мк</v>
      </c>
    </row>
    <row r="14" spans="1:18" x14ac:dyDescent="0.35">
      <c r="A14" t="s">
        <v>941</v>
      </c>
      <c r="B14" t="s">
        <v>943</v>
      </c>
      <c r="C14" t="str">
        <f t="shared" si="11"/>
        <v>HV_trans</v>
      </c>
      <c r="D14" s="2" t="s">
        <v>942</v>
      </c>
      <c r="E14" s="2" t="s">
        <v>941</v>
      </c>
      <c r="F14" s="2" t="str">
        <f t="shared" si="12"/>
        <v>Footprints\Inductance\EE16_transformer.PcbLib</v>
      </c>
      <c r="G14" s="2" t="s">
        <v>944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1473</v>
      </c>
      <c r="P14">
        <f>N14</f>
        <v>0</v>
      </c>
      <c r="R14" t="s">
        <v>1423</v>
      </c>
    </row>
    <row r="15" spans="1:18" x14ac:dyDescent="0.3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1474</v>
      </c>
      <c r="P15" t="s">
        <v>633</v>
      </c>
    </row>
    <row r="16" spans="1:18" x14ac:dyDescent="0.3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870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1475</v>
      </c>
      <c r="P16" t="s">
        <v>598</v>
      </c>
    </row>
    <row r="17" spans="1:18" x14ac:dyDescent="0.3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1476</v>
      </c>
      <c r="P17" t="s">
        <v>641</v>
      </c>
    </row>
    <row r="18" spans="1:18" x14ac:dyDescent="0.3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1477</v>
      </c>
      <c r="P18" t="s">
        <v>633</v>
      </c>
    </row>
    <row r="19" spans="1:18" x14ac:dyDescent="0.3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777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1478</v>
      </c>
      <c r="P19" t="str">
        <f t="shared" ref="P19:P25" si="23">CONCATENATE(N19, " мк")</f>
        <v>4,7 мк</v>
      </c>
      <c r="R19" t="s">
        <v>1423</v>
      </c>
    </row>
    <row r="20" spans="1:18" x14ac:dyDescent="0.3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1478</v>
      </c>
      <c r="P20" t="str">
        <f t="shared" si="23"/>
        <v>2,2 мк</v>
      </c>
      <c r="R20" t="s">
        <v>1423</v>
      </c>
    </row>
    <row r="21" spans="1:18" x14ac:dyDescent="0.35">
      <c r="A21" t="s">
        <v>1495</v>
      </c>
      <c r="B21" t="s">
        <v>1496</v>
      </c>
      <c r="C21" t="str">
        <f t="shared" si="21"/>
        <v>GP2426SR</v>
      </c>
      <c r="D21" s="2" t="s">
        <v>1497</v>
      </c>
      <c r="E21" s="2" t="s">
        <v>1498</v>
      </c>
      <c r="F21" s="2" t="str">
        <f t="shared" si="24"/>
        <v>Footprints\Inductance\GP2426SR.PcbLib</v>
      </c>
      <c r="G21" t="s">
        <v>1495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1499</v>
      </c>
      <c r="P21" t="s">
        <v>1500</v>
      </c>
      <c r="R21" t="s">
        <v>1423</v>
      </c>
    </row>
    <row r="22" spans="1:18" x14ac:dyDescent="0.35">
      <c r="A22" t="s">
        <v>1521</v>
      </c>
      <c r="B22" t="s">
        <v>1522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870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1527</v>
      </c>
      <c r="P22" t="str">
        <f t="shared" si="23"/>
        <v>2,2 мк</v>
      </c>
      <c r="Q22" t="s">
        <v>1529</v>
      </c>
      <c r="R22" t="s">
        <v>1423</v>
      </c>
    </row>
    <row r="23" spans="1:18" x14ac:dyDescent="0.35">
      <c r="A23" t="s">
        <v>1523</v>
      </c>
      <c r="B23" t="s">
        <v>1524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1525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1526</v>
      </c>
      <c r="P23" t="str">
        <f t="shared" si="23"/>
        <v>2,2 мк</v>
      </c>
      <c r="Q23" t="s">
        <v>1528</v>
      </c>
      <c r="R23" t="s">
        <v>1423</v>
      </c>
    </row>
    <row r="24" spans="1:18" x14ac:dyDescent="0.35">
      <c r="A24" t="s">
        <v>1572</v>
      </c>
      <c r="B24" t="s">
        <v>1573</v>
      </c>
      <c r="C24" t="str">
        <f>A24</f>
        <v>B78476A8065A003</v>
      </c>
      <c r="D24" s="2" t="s">
        <v>1574</v>
      </c>
      <c r="E24" t="s">
        <v>1572</v>
      </c>
      <c r="F24" s="2" t="str">
        <f t="shared" si="24"/>
        <v>Footprints\Inductance\B78476A8065A003.PcbLib</v>
      </c>
      <c r="G24" s="2" t="s">
        <v>1572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1499</v>
      </c>
      <c r="P24" t="s">
        <v>1500</v>
      </c>
      <c r="Q24" t="s">
        <v>1575</v>
      </c>
      <c r="R24" t="s">
        <v>1423</v>
      </c>
    </row>
    <row r="25" spans="1:18" x14ac:dyDescent="0.35">
      <c r="A25" t="s">
        <v>1598</v>
      </c>
      <c r="B25" t="s">
        <v>1599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1597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1601</v>
      </c>
      <c r="P25" t="str">
        <f t="shared" si="23"/>
        <v>15 мк</v>
      </c>
      <c r="Q25" t="s">
        <v>1600</v>
      </c>
      <c r="R25" t="s">
        <v>1423</v>
      </c>
    </row>
    <row r="26" spans="1:18" x14ac:dyDescent="0.35">
      <c r="A26" t="s">
        <v>1602</v>
      </c>
      <c r="B26" t="s">
        <v>1603</v>
      </c>
      <c r="C26" t="str">
        <f t="shared" ref="C26" si="25">A26</f>
        <v>H5120NLT</v>
      </c>
      <c r="D26" s="2" t="s">
        <v>1605</v>
      </c>
      <c r="E26" s="2" t="s">
        <v>1604</v>
      </c>
      <c r="F26" s="2" t="str">
        <f t="shared" si="24"/>
        <v>Footprints\Inductance\H5120NLT.PcbLib</v>
      </c>
      <c r="G26" t="s">
        <v>1602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1499</v>
      </c>
      <c r="P26" t="s">
        <v>1500</v>
      </c>
      <c r="Q26" t="s">
        <v>1606</v>
      </c>
      <c r="R26" t="s">
        <v>1423</v>
      </c>
    </row>
    <row r="27" spans="1:18" x14ac:dyDescent="0.35">
      <c r="A27" t="s">
        <v>1608</v>
      </c>
      <c r="B27" s="2" t="s">
        <v>1609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1610</v>
      </c>
      <c r="P27" s="2" t="str">
        <f t="shared" ref="P27" si="29">CONCATENATE(N27, " мк")</f>
        <v>15 мк</v>
      </c>
      <c r="Q27" t="s">
        <v>1611</v>
      </c>
      <c r="R27" t="s">
        <v>1423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F141"/>
  <sheetViews>
    <sheetView tabSelected="1" topLeftCell="A120" zoomScale="70" zoomScaleNormal="70" workbookViewId="0">
      <selection activeCell="C128" sqref="C128"/>
    </sheetView>
  </sheetViews>
  <sheetFormatPr defaultRowHeight="14.5" x14ac:dyDescent="0.35"/>
  <cols>
    <col min="1" max="1" width="21.63281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6328125" customWidth="1"/>
    <col min="7" max="7" width="18.54296875" customWidth="1"/>
    <col min="8" max="8" width="20.6328125" customWidth="1"/>
    <col min="9" max="9" width="16.6328125" customWidth="1"/>
    <col min="10" max="10" width="31.36328125" bestFit="1" customWidth="1"/>
    <col min="11" max="11" width="17.453125" bestFit="1" customWidth="1"/>
    <col min="12" max="12" width="22.453125" customWidth="1"/>
    <col min="13" max="13" width="17.90625" customWidth="1"/>
    <col min="14" max="14" width="13.6328125" customWidth="1"/>
    <col min="81" max="81" width="16.81640625" customWidth="1"/>
  </cols>
  <sheetData>
    <row r="1" spans="1:8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t="s">
        <v>42</v>
      </c>
      <c r="O1" t="s">
        <v>43</v>
      </c>
      <c r="P1" t="s">
        <v>44</v>
      </c>
      <c r="Q1" s="1" t="s">
        <v>45</v>
      </c>
      <c r="R1" s="1" t="s">
        <v>46</v>
      </c>
      <c r="S1" s="1" t="s">
        <v>47</v>
      </c>
      <c r="T1" s="1" t="s">
        <v>1612</v>
      </c>
      <c r="U1" s="1" t="s">
        <v>1613</v>
      </c>
      <c r="V1" s="1" t="s">
        <v>1614</v>
      </c>
      <c r="W1" s="1" t="s">
        <v>1615</v>
      </c>
      <c r="X1" s="1" t="s">
        <v>1616</v>
      </c>
      <c r="Y1" s="1" t="s">
        <v>1617</v>
      </c>
      <c r="Z1" s="1" t="s">
        <v>1618</v>
      </c>
      <c r="AA1" s="1" t="s">
        <v>1619</v>
      </c>
      <c r="AB1" s="1" t="s">
        <v>1620</v>
      </c>
      <c r="AC1" s="1" t="s">
        <v>1621</v>
      </c>
      <c r="AD1" s="1" t="s">
        <v>1622</v>
      </c>
      <c r="AE1" s="1" t="s">
        <v>1623</v>
      </c>
      <c r="AF1" s="1" t="s">
        <v>1624</v>
      </c>
      <c r="AG1" s="1" t="s">
        <v>1625</v>
      </c>
      <c r="AH1" s="1" t="s">
        <v>1626</v>
      </c>
      <c r="AI1" s="1" t="s">
        <v>1627</v>
      </c>
      <c r="AJ1" s="1" t="s">
        <v>1628</v>
      </c>
      <c r="AK1" s="1" t="s">
        <v>1629</v>
      </c>
      <c r="AL1" s="1" t="s">
        <v>1630</v>
      </c>
      <c r="AM1" s="1" t="s">
        <v>1631</v>
      </c>
      <c r="AN1" s="1" t="s">
        <v>1632</v>
      </c>
      <c r="AO1" s="1" t="s">
        <v>1633</v>
      </c>
      <c r="AP1" s="1" t="s">
        <v>1634</v>
      </c>
      <c r="AQ1" s="1" t="s">
        <v>1635</v>
      </c>
      <c r="AR1" s="1" t="s">
        <v>1636</v>
      </c>
      <c r="AS1" s="1" t="s">
        <v>1637</v>
      </c>
      <c r="AT1" s="1" t="s">
        <v>1638</v>
      </c>
      <c r="AU1" s="1" t="s">
        <v>1639</v>
      </c>
      <c r="AV1" s="1" t="s">
        <v>1640</v>
      </c>
      <c r="AW1" s="1" t="s">
        <v>1641</v>
      </c>
      <c r="AX1" s="1" t="s">
        <v>1642</v>
      </c>
      <c r="AY1" s="1" t="s">
        <v>1643</v>
      </c>
      <c r="AZ1" s="1" t="s">
        <v>1644</v>
      </c>
      <c r="BA1" s="1" t="s">
        <v>1645</v>
      </c>
      <c r="BB1" s="1" t="s">
        <v>1646</v>
      </c>
      <c r="BC1" s="1" t="s">
        <v>1647</v>
      </c>
      <c r="BD1" s="1" t="s">
        <v>1648</v>
      </c>
      <c r="BE1" s="1" t="s">
        <v>1649</v>
      </c>
      <c r="BF1" s="1" t="s">
        <v>1650</v>
      </c>
      <c r="BG1" s="1" t="s">
        <v>1651</v>
      </c>
      <c r="BH1" s="1" t="s">
        <v>1652</v>
      </c>
      <c r="BI1" s="1" t="s">
        <v>1653</v>
      </c>
      <c r="BJ1" s="1" t="s">
        <v>1654</v>
      </c>
      <c r="BK1" s="1" t="s">
        <v>1655</v>
      </c>
      <c r="BL1" s="1" t="s">
        <v>1656</v>
      </c>
      <c r="BM1" s="1" t="s">
        <v>1657</v>
      </c>
      <c r="BN1" s="1" t="s">
        <v>1658</v>
      </c>
      <c r="BO1" s="1" t="s">
        <v>1659</v>
      </c>
      <c r="BP1" s="1" t="s">
        <v>1660</v>
      </c>
      <c r="BQ1" s="1" t="s">
        <v>1661</v>
      </c>
      <c r="BR1" s="1" t="s">
        <v>1662</v>
      </c>
      <c r="BS1" s="1" t="s">
        <v>1663</v>
      </c>
      <c r="BT1" s="1" t="s">
        <v>1664</v>
      </c>
      <c r="BU1" s="1" t="s">
        <v>1665</v>
      </c>
      <c r="BV1" s="1" t="s">
        <v>1666</v>
      </c>
      <c r="BW1" s="1" t="s">
        <v>1667</v>
      </c>
      <c r="BX1" s="1" t="s">
        <v>1668</v>
      </c>
      <c r="BY1" s="1" t="s">
        <v>1669</v>
      </c>
      <c r="BZ1" s="1" t="s">
        <v>1670</v>
      </c>
      <c r="CA1" s="1" t="s">
        <v>1671</v>
      </c>
      <c r="CB1" s="1" t="s">
        <v>1672</v>
      </c>
      <c r="CC1" s="1" t="s">
        <v>1673</v>
      </c>
      <c r="CD1" s="1" t="s">
        <v>25</v>
      </c>
      <c r="CE1" s="1" t="s">
        <v>955</v>
      </c>
      <c r="CF1" s="48" t="s">
        <v>1422</v>
      </c>
    </row>
    <row r="2" spans="1:84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84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84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84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1424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84" x14ac:dyDescent="0.3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823</v>
      </c>
      <c r="J6" s="2" t="str">
        <f t="shared" ref="J6" si="2">CONCATENATE("Footprints\",K6,".PcbLib")</f>
        <v>Footprints\0805SB_wide_gap.PcbLib</v>
      </c>
      <c r="K6" s="2" t="s">
        <v>871</v>
      </c>
      <c r="L6" s="2" t="str">
        <f t="shared" si="0"/>
        <v>Footprints\0603SB.PcbLib</v>
      </c>
      <c r="M6" s="2" t="s">
        <v>1562</v>
      </c>
    </row>
    <row r="7" spans="1:84" x14ac:dyDescent="0.35">
      <c r="A7" s="2" t="s">
        <v>703</v>
      </c>
      <c r="B7" s="2" t="s">
        <v>704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705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</row>
    <row r="8" spans="1:84" x14ac:dyDescent="0.35">
      <c r="A8" s="2" t="s">
        <v>727</v>
      </c>
      <c r="B8" s="2" t="s">
        <v>726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705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</row>
    <row r="9" spans="1:84" x14ac:dyDescent="0.35">
      <c r="A9" s="2" t="s">
        <v>739</v>
      </c>
      <c r="B9" s="2" t="s">
        <v>737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738</v>
      </c>
      <c r="F9" s="2" t="str">
        <f t="shared" si="1"/>
        <v>Footprints\fuse_20x5_on_clips_FC-M.PcbLib</v>
      </c>
      <c r="G9" s="2" t="s">
        <v>736</v>
      </c>
      <c r="H9" s="2"/>
      <c r="I9" s="2"/>
      <c r="J9" s="2"/>
      <c r="K9" s="2"/>
      <c r="L9" s="2" t="str">
        <f t="shared" si="0"/>
        <v>Footprints\.PcbLib</v>
      </c>
    </row>
    <row r="10" spans="1:84" x14ac:dyDescent="0.35">
      <c r="A10" s="2" t="s">
        <v>781</v>
      </c>
      <c r="B10" s="2" t="s">
        <v>782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781</v>
      </c>
      <c r="H10" s="2"/>
      <c r="I10" s="2"/>
      <c r="J10" s="2"/>
      <c r="K10" s="2"/>
      <c r="L10" s="2" t="str">
        <f t="shared" si="0"/>
        <v>Footprints\.PcbLib</v>
      </c>
    </row>
    <row r="11" spans="1:84" x14ac:dyDescent="0.35">
      <c r="A11" s="2" t="s">
        <v>812</v>
      </c>
      <c r="B11" s="2" t="s">
        <v>813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812</v>
      </c>
      <c r="H11" s="2"/>
      <c r="I11" s="2"/>
      <c r="J11" s="2"/>
      <c r="K11" s="2"/>
      <c r="L11" s="2" t="str">
        <f t="shared" si="0"/>
        <v>Footprints\.PcbLib</v>
      </c>
    </row>
    <row r="12" spans="1:84" x14ac:dyDescent="0.35">
      <c r="A12" s="2" t="s">
        <v>860</v>
      </c>
      <c r="B12" s="2" t="s">
        <v>861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812</v>
      </c>
      <c r="F12" s="2" t="str">
        <f t="shared" ref="F12" si="5">CONCATENATE("Footprints\",G12,".PcbLib")</f>
        <v>Footprints\cooler3030.PcbLib</v>
      </c>
      <c r="G12" s="2" t="s">
        <v>860</v>
      </c>
      <c r="H12" s="2"/>
      <c r="I12" s="2"/>
      <c r="J12" s="2"/>
      <c r="K12" s="2"/>
      <c r="L12" s="2" t="str">
        <f t="shared" si="0"/>
        <v>Footprints\.PcbLib</v>
      </c>
    </row>
    <row r="13" spans="1:84" x14ac:dyDescent="0.35">
      <c r="A13" s="2" t="s">
        <v>982</v>
      </c>
      <c r="B13" s="2" t="s">
        <v>984</v>
      </c>
      <c r="C13" s="2" t="s">
        <v>983</v>
      </c>
      <c r="D13" t="s">
        <v>985</v>
      </c>
      <c r="E13" s="2" t="s">
        <v>986</v>
      </c>
      <c r="F13" s="2" t="s">
        <v>981</v>
      </c>
      <c r="G13" s="2" t="s">
        <v>980</v>
      </c>
      <c r="H13" s="2"/>
      <c r="I13" s="2"/>
      <c r="J13" s="2"/>
      <c r="K13" s="2"/>
      <c r="L13" s="2" t="str">
        <f t="shared" si="0"/>
        <v>Footprints\.PcbLib</v>
      </c>
    </row>
    <row r="14" spans="1:84" x14ac:dyDescent="0.35">
      <c r="A14" t="s">
        <v>987</v>
      </c>
      <c r="B14" t="s">
        <v>989</v>
      </c>
      <c r="C14" t="s">
        <v>988</v>
      </c>
      <c r="D14" t="s">
        <v>985</v>
      </c>
      <c r="E14" s="2" t="s">
        <v>986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</row>
    <row r="15" spans="1:84" x14ac:dyDescent="0.3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</row>
    <row r="16" spans="1:84" x14ac:dyDescent="0.3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2" x14ac:dyDescent="0.3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2" x14ac:dyDescent="0.35">
      <c r="A18" t="s">
        <v>1406</v>
      </c>
      <c r="B18" t="s">
        <v>1407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1408</v>
      </c>
      <c r="G18" t="s">
        <v>1406</v>
      </c>
      <c r="J18" t="str">
        <f>CONCATENATE("Footprints\",K18,".PcbLib")</f>
        <v>Footprints\.PcbLib</v>
      </c>
      <c r="L18" s="2" t="str">
        <f t="shared" si="0"/>
        <v>Footprints\.PcbLib</v>
      </c>
    </row>
    <row r="19" spans="1:12" x14ac:dyDescent="0.35">
      <c r="A19" s="2" t="s">
        <v>1430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1430</v>
      </c>
      <c r="H19" s="2"/>
      <c r="I19" s="2"/>
      <c r="J19" s="2"/>
      <c r="K19" s="2"/>
      <c r="L19" s="2" t="str">
        <f t="shared" si="0"/>
        <v>Footprints\.PcbLib</v>
      </c>
    </row>
    <row r="20" spans="1:12" x14ac:dyDescent="0.35">
      <c r="A20" t="s">
        <v>1448</v>
      </c>
      <c r="B20" s="2" t="s">
        <v>1449</v>
      </c>
      <c r="C20" s="2" t="str">
        <f>A20</f>
        <v>SMT-NUT-M2H1.5</v>
      </c>
      <c r="D20" t="s">
        <v>985</v>
      </c>
      <c r="E20" s="2" t="s">
        <v>986</v>
      </c>
      <c r="F20" s="2" t="s">
        <v>981</v>
      </c>
      <c r="G20">
        <v>9774015151</v>
      </c>
      <c r="L20" s="2" t="str">
        <f t="shared" si="0"/>
        <v>Footprints\.PcbLib</v>
      </c>
    </row>
    <row r="21" spans="1:12" x14ac:dyDescent="0.35">
      <c r="A21" t="s">
        <v>1530</v>
      </c>
      <c r="B21" t="s">
        <v>1531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1532</v>
      </c>
      <c r="L21" s="2" t="str">
        <f t="shared" si="0"/>
        <v>Footprints\.PcbLib</v>
      </c>
    </row>
    <row r="22" spans="1:12" x14ac:dyDescent="0.35">
      <c r="A22" t="s">
        <v>1533</v>
      </c>
      <c r="B22" t="s">
        <v>1536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1539</v>
      </c>
      <c r="L22" s="2" t="str">
        <f t="shared" si="0"/>
        <v>Footprints\.PcbLib</v>
      </c>
    </row>
    <row r="23" spans="1:12" x14ac:dyDescent="0.35">
      <c r="A23" t="s">
        <v>1534</v>
      </c>
      <c r="B23" t="s">
        <v>1537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1540</v>
      </c>
      <c r="L23" s="2" t="str">
        <f t="shared" si="0"/>
        <v>Footprints\.PcbLib</v>
      </c>
    </row>
    <row r="24" spans="1:12" x14ac:dyDescent="0.35">
      <c r="A24" t="s">
        <v>1535</v>
      </c>
      <c r="B24" t="s">
        <v>1538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1541</v>
      </c>
      <c r="L24" s="2" t="str">
        <f t="shared" si="0"/>
        <v>Footprints\.PcbLib</v>
      </c>
    </row>
    <row r="25" spans="1:12" x14ac:dyDescent="0.35">
      <c r="A25" s="52" t="s">
        <v>1542</v>
      </c>
      <c r="B25" t="s">
        <v>1544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1543</v>
      </c>
      <c r="J25" t="str">
        <f>CONCATENATE("Footprints\",K25,".PcbLib")</f>
        <v>Footprints\.PcbLib</v>
      </c>
      <c r="L25" s="2" t="str">
        <f t="shared" si="0"/>
        <v>Footprints\.PcbLib</v>
      </c>
    </row>
    <row r="26" spans="1:12" x14ac:dyDescent="0.35">
      <c r="A26" t="s">
        <v>1727</v>
      </c>
      <c r="B26" t="s">
        <v>1914</v>
      </c>
      <c r="C26" t="s">
        <v>1915</v>
      </c>
      <c r="D26" t="s">
        <v>1726</v>
      </c>
      <c r="E26" t="s">
        <v>1727</v>
      </c>
      <c r="F26" t="s">
        <v>1674</v>
      </c>
      <c r="G26" t="s">
        <v>1727</v>
      </c>
    </row>
    <row r="27" spans="1:12" x14ac:dyDescent="0.35">
      <c r="A27" t="s">
        <v>1728</v>
      </c>
      <c r="B27" t="s">
        <v>1914</v>
      </c>
      <c r="C27" t="s">
        <v>1914</v>
      </c>
      <c r="D27" t="s">
        <v>1726</v>
      </c>
      <c r="E27" t="s">
        <v>1728</v>
      </c>
    </row>
    <row r="28" spans="1:12" x14ac:dyDescent="0.35">
      <c r="A28" t="s">
        <v>1729</v>
      </c>
      <c r="B28" t="s">
        <v>1914</v>
      </c>
      <c r="C28" t="s">
        <v>1729</v>
      </c>
      <c r="D28" t="s">
        <v>1726</v>
      </c>
      <c r="E28" t="s">
        <v>1729</v>
      </c>
      <c r="F28" t="s">
        <v>1674</v>
      </c>
      <c r="G28" t="s">
        <v>1730</v>
      </c>
    </row>
    <row r="29" spans="1:12" x14ac:dyDescent="0.35">
      <c r="A29" t="s">
        <v>1731</v>
      </c>
      <c r="B29" t="s">
        <v>1914</v>
      </c>
      <c r="C29" t="s">
        <v>1914</v>
      </c>
      <c r="D29" t="s">
        <v>1726</v>
      </c>
      <c r="E29" t="s">
        <v>1731</v>
      </c>
      <c r="F29" t="s">
        <v>1674</v>
      </c>
      <c r="G29" t="s">
        <v>1731</v>
      </c>
    </row>
    <row r="30" spans="1:12" x14ac:dyDescent="0.35">
      <c r="A30" t="s">
        <v>1732</v>
      </c>
      <c r="B30" t="s">
        <v>1914</v>
      </c>
      <c r="C30" t="s">
        <v>1914</v>
      </c>
      <c r="D30" t="s">
        <v>1726</v>
      </c>
      <c r="E30" t="s">
        <v>1732</v>
      </c>
      <c r="F30" t="s">
        <v>1674</v>
      </c>
      <c r="G30" t="s">
        <v>1733</v>
      </c>
    </row>
    <row r="31" spans="1:12" x14ac:dyDescent="0.35">
      <c r="A31" t="s">
        <v>1734</v>
      </c>
      <c r="B31" t="s">
        <v>1914</v>
      </c>
      <c r="C31" t="s">
        <v>1914</v>
      </c>
      <c r="D31" t="s">
        <v>1726</v>
      </c>
      <c r="E31" t="s">
        <v>1734</v>
      </c>
      <c r="F31" t="s">
        <v>1674</v>
      </c>
      <c r="G31" t="s">
        <v>1735</v>
      </c>
    </row>
    <row r="32" spans="1:12" x14ac:dyDescent="0.35">
      <c r="A32" t="s">
        <v>1736</v>
      </c>
      <c r="B32" t="s">
        <v>1914</v>
      </c>
      <c r="C32" t="s">
        <v>1914</v>
      </c>
      <c r="D32" t="s">
        <v>1726</v>
      </c>
      <c r="E32" t="s">
        <v>1736</v>
      </c>
    </row>
    <row r="33" spans="1:7" x14ac:dyDescent="0.35">
      <c r="A33" t="s">
        <v>1737</v>
      </c>
      <c r="B33" t="s">
        <v>1914</v>
      </c>
      <c r="C33" t="s">
        <v>1914</v>
      </c>
      <c r="D33" t="s">
        <v>1726</v>
      </c>
      <c r="E33" t="s">
        <v>1737</v>
      </c>
      <c r="F33" t="s">
        <v>1674</v>
      </c>
      <c r="G33" t="s">
        <v>1738</v>
      </c>
    </row>
    <row r="34" spans="1:7" x14ac:dyDescent="0.35">
      <c r="A34" t="s">
        <v>1739</v>
      </c>
      <c r="B34" t="s">
        <v>1914</v>
      </c>
      <c r="C34" t="s">
        <v>1914</v>
      </c>
      <c r="D34" t="s">
        <v>1726</v>
      </c>
      <c r="E34" t="s">
        <v>1739</v>
      </c>
      <c r="F34" t="s">
        <v>1674</v>
      </c>
      <c r="G34" t="s">
        <v>1740</v>
      </c>
    </row>
    <row r="35" spans="1:7" x14ac:dyDescent="0.35">
      <c r="A35" t="s">
        <v>1013</v>
      </c>
      <c r="B35" t="s">
        <v>1914</v>
      </c>
      <c r="C35" t="s">
        <v>1914</v>
      </c>
      <c r="D35" t="s">
        <v>1726</v>
      </c>
      <c r="E35" t="s">
        <v>1013</v>
      </c>
      <c r="F35" t="s">
        <v>1674</v>
      </c>
      <c r="G35" t="s">
        <v>1741</v>
      </c>
    </row>
    <row r="36" spans="1:7" x14ac:dyDescent="0.35">
      <c r="A36" t="s">
        <v>1742</v>
      </c>
      <c r="B36" t="s">
        <v>1914</v>
      </c>
      <c r="C36" t="s">
        <v>1914</v>
      </c>
      <c r="D36" t="s">
        <v>1726</v>
      </c>
      <c r="E36" t="s">
        <v>1742</v>
      </c>
      <c r="F36" t="s">
        <v>1674</v>
      </c>
      <c r="G36" t="s">
        <v>1743</v>
      </c>
    </row>
    <row r="37" spans="1:7" x14ac:dyDescent="0.35">
      <c r="A37" t="s">
        <v>1744</v>
      </c>
      <c r="B37" t="s">
        <v>1914</v>
      </c>
      <c r="D37" t="s">
        <v>1726</v>
      </c>
      <c r="E37" t="s">
        <v>1744</v>
      </c>
      <c r="F37" t="s">
        <v>1674</v>
      </c>
      <c r="G37" t="s">
        <v>1745</v>
      </c>
    </row>
    <row r="38" spans="1:7" x14ac:dyDescent="0.35">
      <c r="A38" t="s">
        <v>1746</v>
      </c>
      <c r="B38" t="s">
        <v>1914</v>
      </c>
      <c r="C38" t="s">
        <v>1746</v>
      </c>
      <c r="D38" t="s">
        <v>1726</v>
      </c>
      <c r="E38" t="s">
        <v>1746</v>
      </c>
      <c r="F38" t="s">
        <v>1674</v>
      </c>
      <c r="G38" t="s">
        <v>1746</v>
      </c>
    </row>
    <row r="39" spans="1:7" x14ac:dyDescent="0.35">
      <c r="A39" t="s">
        <v>1747</v>
      </c>
      <c r="B39" t="s">
        <v>1914</v>
      </c>
      <c r="C39" t="s">
        <v>1914</v>
      </c>
      <c r="D39" t="s">
        <v>1726</v>
      </c>
      <c r="E39" t="s">
        <v>1747</v>
      </c>
      <c r="F39" t="s">
        <v>1674</v>
      </c>
      <c r="G39" t="s">
        <v>76</v>
      </c>
    </row>
    <row r="40" spans="1:7" x14ac:dyDescent="0.35">
      <c r="A40" t="s">
        <v>1748</v>
      </c>
      <c r="B40" t="s">
        <v>1914</v>
      </c>
      <c r="C40" t="s">
        <v>1914</v>
      </c>
      <c r="D40" t="s">
        <v>1726</v>
      </c>
      <c r="E40" t="s">
        <v>1748</v>
      </c>
      <c r="F40" t="s">
        <v>1674</v>
      </c>
      <c r="G40" t="s">
        <v>1749</v>
      </c>
    </row>
    <row r="41" spans="1:7" x14ac:dyDescent="0.35">
      <c r="A41" t="s">
        <v>1750</v>
      </c>
      <c r="B41" t="s">
        <v>1914</v>
      </c>
      <c r="C41" t="s">
        <v>1914</v>
      </c>
      <c r="D41" t="s">
        <v>1726</v>
      </c>
      <c r="E41" t="s">
        <v>1750</v>
      </c>
      <c r="F41" t="s">
        <v>1674</v>
      </c>
      <c r="G41" t="s">
        <v>1751</v>
      </c>
    </row>
    <row r="42" spans="1:7" x14ac:dyDescent="0.35">
      <c r="A42" t="s">
        <v>1752</v>
      </c>
      <c r="B42" t="s">
        <v>1914</v>
      </c>
      <c r="C42" t="s">
        <v>1914</v>
      </c>
      <c r="D42" t="s">
        <v>1726</v>
      </c>
      <c r="E42" t="s">
        <v>1752</v>
      </c>
      <c r="F42" t="s">
        <v>1674</v>
      </c>
      <c r="G42" t="s">
        <v>1753</v>
      </c>
    </row>
    <row r="43" spans="1:7" x14ac:dyDescent="0.35">
      <c r="A43" t="s">
        <v>1754</v>
      </c>
      <c r="B43" t="s">
        <v>1914</v>
      </c>
      <c r="C43" t="s">
        <v>1914</v>
      </c>
      <c r="D43" t="s">
        <v>1726</v>
      </c>
      <c r="E43" t="s">
        <v>1754</v>
      </c>
      <c r="F43" t="s">
        <v>1674</v>
      </c>
      <c r="G43" t="s">
        <v>1751</v>
      </c>
    </row>
    <row r="44" spans="1:7" x14ac:dyDescent="0.35">
      <c r="A44" t="s">
        <v>1755</v>
      </c>
      <c r="B44" t="s">
        <v>1914</v>
      </c>
      <c r="C44" t="s">
        <v>1914</v>
      </c>
      <c r="D44" t="s">
        <v>1726</v>
      </c>
      <c r="E44" t="s">
        <v>1755</v>
      </c>
      <c r="F44" t="s">
        <v>1674</v>
      </c>
      <c r="G44" t="s">
        <v>1756</v>
      </c>
    </row>
    <row r="45" spans="1:7" x14ac:dyDescent="0.35">
      <c r="A45" t="s">
        <v>1757</v>
      </c>
      <c r="B45" t="s">
        <v>1914</v>
      </c>
      <c r="C45" t="s">
        <v>1914</v>
      </c>
      <c r="D45" t="s">
        <v>1726</v>
      </c>
      <c r="E45" t="s">
        <v>1757</v>
      </c>
      <c r="F45" t="s">
        <v>1674</v>
      </c>
      <c r="G45" t="s">
        <v>1756</v>
      </c>
    </row>
    <row r="46" spans="1:7" x14ac:dyDescent="0.35">
      <c r="A46" t="s">
        <v>1758</v>
      </c>
      <c r="B46" t="s">
        <v>1914</v>
      </c>
      <c r="C46" t="s">
        <v>1914</v>
      </c>
      <c r="D46" t="s">
        <v>1726</v>
      </c>
      <c r="E46" t="s">
        <v>1758</v>
      </c>
      <c r="F46" t="s">
        <v>1674</v>
      </c>
      <c r="G46" t="s">
        <v>1759</v>
      </c>
    </row>
    <row r="47" spans="1:7" x14ac:dyDescent="0.35">
      <c r="A47" t="s">
        <v>1760</v>
      </c>
      <c r="B47" t="s">
        <v>1914</v>
      </c>
      <c r="C47" t="s">
        <v>1914</v>
      </c>
      <c r="D47" t="s">
        <v>1726</v>
      </c>
      <c r="E47" t="s">
        <v>1760</v>
      </c>
      <c r="F47" t="s">
        <v>1674</v>
      </c>
      <c r="G47" t="s">
        <v>1761</v>
      </c>
    </row>
    <row r="48" spans="1:7" x14ac:dyDescent="0.35">
      <c r="A48" t="s">
        <v>1762</v>
      </c>
      <c r="B48" t="s">
        <v>1914</v>
      </c>
      <c r="C48" t="s">
        <v>1914</v>
      </c>
      <c r="D48" t="s">
        <v>1726</v>
      </c>
      <c r="E48" t="s">
        <v>1762</v>
      </c>
      <c r="F48" t="s">
        <v>1674</v>
      </c>
      <c r="G48" t="s">
        <v>1761</v>
      </c>
    </row>
    <row r="49" spans="1:9" x14ac:dyDescent="0.35">
      <c r="A49" t="s">
        <v>1763</v>
      </c>
      <c r="B49" t="s">
        <v>1914</v>
      </c>
      <c r="C49" t="s">
        <v>1914</v>
      </c>
      <c r="D49" t="s">
        <v>1726</v>
      </c>
      <c r="E49" t="s">
        <v>1763</v>
      </c>
      <c r="F49" t="s">
        <v>1674</v>
      </c>
      <c r="G49" t="s">
        <v>1764</v>
      </c>
    </row>
    <row r="50" spans="1:9" x14ac:dyDescent="0.35">
      <c r="A50" t="s">
        <v>1765</v>
      </c>
      <c r="B50" t="s">
        <v>1914</v>
      </c>
      <c r="C50" t="s">
        <v>1914</v>
      </c>
      <c r="D50" t="s">
        <v>1726</v>
      </c>
      <c r="E50" t="s">
        <v>1765</v>
      </c>
    </row>
    <row r="51" spans="1:9" x14ac:dyDescent="0.35">
      <c r="A51" t="s">
        <v>1766</v>
      </c>
      <c r="B51" t="s">
        <v>1914</v>
      </c>
      <c r="C51" t="s">
        <v>1914</v>
      </c>
      <c r="D51" t="s">
        <v>1726</v>
      </c>
      <c r="E51" t="s">
        <v>1766</v>
      </c>
      <c r="F51" t="s">
        <v>1674</v>
      </c>
      <c r="G51" t="s">
        <v>1767</v>
      </c>
    </row>
    <row r="52" spans="1:9" x14ac:dyDescent="0.35">
      <c r="A52" t="s">
        <v>1768</v>
      </c>
      <c r="B52" t="s">
        <v>1914</v>
      </c>
      <c r="C52" t="s">
        <v>1914</v>
      </c>
      <c r="D52" t="s">
        <v>1726</v>
      </c>
      <c r="E52" t="s">
        <v>1768</v>
      </c>
      <c r="F52" t="s">
        <v>1674</v>
      </c>
      <c r="G52" t="s">
        <v>1769</v>
      </c>
    </row>
    <row r="53" spans="1:9" x14ac:dyDescent="0.35">
      <c r="A53" t="s">
        <v>1770</v>
      </c>
      <c r="B53" t="s">
        <v>1914</v>
      </c>
      <c r="C53" t="s">
        <v>1914</v>
      </c>
      <c r="D53" t="s">
        <v>1726</v>
      </c>
      <c r="E53" t="s">
        <v>1770</v>
      </c>
      <c r="F53" t="s">
        <v>1674</v>
      </c>
      <c r="G53" t="s">
        <v>1771</v>
      </c>
    </row>
    <row r="54" spans="1:9" x14ac:dyDescent="0.35">
      <c r="A54" t="s">
        <v>1772</v>
      </c>
      <c r="B54" t="s">
        <v>1914</v>
      </c>
      <c r="C54" t="s">
        <v>1914</v>
      </c>
      <c r="D54" t="s">
        <v>1726</v>
      </c>
      <c r="E54" t="s">
        <v>1772</v>
      </c>
      <c r="F54" t="s">
        <v>1674</v>
      </c>
      <c r="G54" t="s">
        <v>1773</v>
      </c>
      <c r="H54" t="s">
        <v>1674</v>
      </c>
      <c r="I54" t="s">
        <v>1774</v>
      </c>
    </row>
    <row r="55" spans="1:9" x14ac:dyDescent="0.35">
      <c r="A55" t="s">
        <v>1775</v>
      </c>
      <c r="B55" t="s">
        <v>1914</v>
      </c>
      <c r="C55" t="s">
        <v>1914</v>
      </c>
      <c r="D55" t="s">
        <v>1726</v>
      </c>
      <c r="E55" t="s">
        <v>1775</v>
      </c>
      <c r="F55" t="s">
        <v>1674</v>
      </c>
      <c r="G55" t="s">
        <v>1756</v>
      </c>
    </row>
    <row r="56" spans="1:9" x14ac:dyDescent="0.35">
      <c r="A56" t="s">
        <v>1776</v>
      </c>
      <c r="B56" t="s">
        <v>1914</v>
      </c>
      <c r="C56" t="s">
        <v>1914</v>
      </c>
      <c r="D56" t="s">
        <v>1726</v>
      </c>
      <c r="E56" t="s">
        <v>1776</v>
      </c>
      <c r="F56" t="s">
        <v>1674</v>
      </c>
      <c r="G56" t="s">
        <v>1753</v>
      </c>
    </row>
    <row r="57" spans="1:9" x14ac:dyDescent="0.35">
      <c r="A57" t="s">
        <v>1777</v>
      </c>
      <c r="B57" t="s">
        <v>1914</v>
      </c>
      <c r="C57" t="s">
        <v>1914</v>
      </c>
      <c r="D57" t="s">
        <v>1726</v>
      </c>
      <c r="E57" t="s">
        <v>1777</v>
      </c>
    </row>
    <row r="58" spans="1:9" x14ac:dyDescent="0.35">
      <c r="A58" t="s">
        <v>1778</v>
      </c>
      <c r="B58" t="s">
        <v>1914</v>
      </c>
      <c r="C58" t="s">
        <v>1914</v>
      </c>
      <c r="D58" t="s">
        <v>1726</v>
      </c>
      <c r="E58" t="s">
        <v>1778</v>
      </c>
      <c r="F58" t="s">
        <v>1674</v>
      </c>
      <c r="G58" t="s">
        <v>1779</v>
      </c>
    </row>
    <row r="59" spans="1:9" x14ac:dyDescent="0.35">
      <c r="A59" t="s">
        <v>1780</v>
      </c>
      <c r="B59" t="s">
        <v>1914</v>
      </c>
      <c r="C59" t="s">
        <v>1914</v>
      </c>
      <c r="D59" t="s">
        <v>1726</v>
      </c>
      <c r="E59" t="s">
        <v>1780</v>
      </c>
      <c r="F59" t="s">
        <v>1674</v>
      </c>
      <c r="G59" t="s">
        <v>1771</v>
      </c>
    </row>
    <row r="60" spans="1:9" x14ac:dyDescent="0.35">
      <c r="A60" t="s">
        <v>1781</v>
      </c>
      <c r="B60" t="s">
        <v>1914</v>
      </c>
      <c r="C60" t="s">
        <v>1914</v>
      </c>
      <c r="D60" t="s">
        <v>1726</v>
      </c>
      <c r="E60" t="s">
        <v>1781</v>
      </c>
    </row>
    <row r="61" spans="1:9" x14ac:dyDescent="0.35">
      <c r="A61" t="s">
        <v>1782</v>
      </c>
      <c r="B61" t="s">
        <v>1914</v>
      </c>
      <c r="C61" t="s">
        <v>1914</v>
      </c>
      <c r="D61" t="s">
        <v>1726</v>
      </c>
      <c r="E61" t="s">
        <v>1782</v>
      </c>
    </row>
    <row r="62" spans="1:9" x14ac:dyDescent="0.35">
      <c r="A62" t="s">
        <v>1783</v>
      </c>
      <c r="B62" t="s">
        <v>1914</v>
      </c>
      <c r="C62" t="s">
        <v>1914</v>
      </c>
      <c r="D62" t="s">
        <v>1726</v>
      </c>
      <c r="E62" t="s">
        <v>1783</v>
      </c>
    </row>
    <row r="63" spans="1:9" x14ac:dyDescent="0.35">
      <c r="A63" t="s">
        <v>1784</v>
      </c>
      <c r="B63" t="s">
        <v>1914</v>
      </c>
      <c r="C63" t="s">
        <v>1914</v>
      </c>
      <c r="D63" t="s">
        <v>1726</v>
      </c>
      <c r="E63" t="s">
        <v>1784</v>
      </c>
      <c r="F63" t="s">
        <v>1674</v>
      </c>
      <c r="G63" t="s">
        <v>1745</v>
      </c>
    </row>
    <row r="64" spans="1:9" x14ac:dyDescent="0.35">
      <c r="A64" t="s">
        <v>1785</v>
      </c>
      <c r="B64" t="s">
        <v>1914</v>
      </c>
      <c r="C64" t="s">
        <v>1914</v>
      </c>
      <c r="D64" t="s">
        <v>1726</v>
      </c>
      <c r="E64" t="s">
        <v>1785</v>
      </c>
    </row>
    <row r="65" spans="1:11" x14ac:dyDescent="0.35">
      <c r="A65" t="s">
        <v>1786</v>
      </c>
      <c r="B65" t="s">
        <v>1914</v>
      </c>
      <c r="C65" t="s">
        <v>1786</v>
      </c>
      <c r="D65" t="s">
        <v>1726</v>
      </c>
      <c r="E65" t="s">
        <v>1786</v>
      </c>
    </row>
    <row r="66" spans="1:11" x14ac:dyDescent="0.35">
      <c r="A66" t="s">
        <v>1787</v>
      </c>
      <c r="B66" t="s">
        <v>1914</v>
      </c>
      <c r="C66" t="s">
        <v>1916</v>
      </c>
      <c r="D66" t="s">
        <v>1726</v>
      </c>
      <c r="E66" t="s">
        <v>1787</v>
      </c>
      <c r="F66" t="s">
        <v>1674</v>
      </c>
      <c r="G66" t="s">
        <v>1788</v>
      </c>
    </row>
    <row r="67" spans="1:11" x14ac:dyDescent="0.35">
      <c r="A67" t="s">
        <v>1789</v>
      </c>
      <c r="B67" t="s">
        <v>1914</v>
      </c>
      <c r="C67" t="s">
        <v>1914</v>
      </c>
      <c r="D67" t="s">
        <v>1726</v>
      </c>
      <c r="E67" t="s">
        <v>1789</v>
      </c>
    </row>
    <row r="68" spans="1:11" x14ac:dyDescent="0.35">
      <c r="A68" t="s">
        <v>1790</v>
      </c>
      <c r="B68" t="s">
        <v>1914</v>
      </c>
      <c r="C68" t="s">
        <v>1914</v>
      </c>
      <c r="D68" t="s">
        <v>1726</v>
      </c>
      <c r="E68" t="s">
        <v>1790</v>
      </c>
    </row>
    <row r="69" spans="1:11" x14ac:dyDescent="0.35">
      <c r="A69" t="s">
        <v>1791</v>
      </c>
      <c r="B69" t="s">
        <v>1914</v>
      </c>
      <c r="C69" t="s">
        <v>1914</v>
      </c>
      <c r="D69" t="s">
        <v>1726</v>
      </c>
      <c r="E69" t="s">
        <v>1791</v>
      </c>
    </row>
    <row r="70" spans="1:11" x14ac:dyDescent="0.35">
      <c r="A70" t="s">
        <v>1792</v>
      </c>
      <c r="B70" t="s">
        <v>1914</v>
      </c>
      <c r="C70" t="s">
        <v>1914</v>
      </c>
      <c r="D70" t="s">
        <v>1726</v>
      </c>
      <c r="E70" t="s">
        <v>1792</v>
      </c>
      <c r="F70" t="s">
        <v>1674</v>
      </c>
      <c r="G70" t="s">
        <v>1793</v>
      </c>
    </row>
    <row r="71" spans="1:11" x14ac:dyDescent="0.35">
      <c r="A71" t="s">
        <v>1794</v>
      </c>
      <c r="B71" t="s">
        <v>1914</v>
      </c>
      <c r="C71" t="s">
        <v>1794</v>
      </c>
      <c r="D71" t="s">
        <v>1726</v>
      </c>
      <c r="E71" t="s">
        <v>1794</v>
      </c>
      <c r="F71" t="s">
        <v>1674</v>
      </c>
      <c r="G71" t="s">
        <v>1795</v>
      </c>
    </row>
    <row r="72" spans="1:11" x14ac:dyDescent="0.35">
      <c r="A72" t="s">
        <v>1796</v>
      </c>
      <c r="B72" t="s">
        <v>1914</v>
      </c>
      <c r="C72" t="s">
        <v>1914</v>
      </c>
      <c r="D72" t="s">
        <v>1726</v>
      </c>
      <c r="E72" t="s">
        <v>1796</v>
      </c>
    </row>
    <row r="73" spans="1:11" x14ac:dyDescent="0.35">
      <c r="A73" t="s">
        <v>1797</v>
      </c>
      <c r="B73" t="s">
        <v>1914</v>
      </c>
      <c r="C73" t="s">
        <v>1914</v>
      </c>
      <c r="D73" t="s">
        <v>1726</v>
      </c>
      <c r="E73" t="s">
        <v>1797</v>
      </c>
    </row>
    <row r="74" spans="1:11" x14ac:dyDescent="0.35">
      <c r="A74" t="s">
        <v>1798</v>
      </c>
      <c r="B74" t="s">
        <v>1914</v>
      </c>
      <c r="C74" t="s">
        <v>1914</v>
      </c>
      <c r="D74" t="s">
        <v>1726</v>
      </c>
      <c r="E74" t="s">
        <v>1798</v>
      </c>
      <c r="F74" t="s">
        <v>1674</v>
      </c>
      <c r="G74" t="s">
        <v>1799</v>
      </c>
    </row>
    <row r="75" spans="1:11" x14ac:dyDescent="0.35">
      <c r="A75" t="s">
        <v>1800</v>
      </c>
      <c r="B75" t="s">
        <v>1914</v>
      </c>
      <c r="C75" t="s">
        <v>1917</v>
      </c>
      <c r="D75" t="s">
        <v>1726</v>
      </c>
      <c r="E75" t="s">
        <v>1800</v>
      </c>
      <c r="F75" t="s">
        <v>1674</v>
      </c>
      <c r="G75" t="s">
        <v>1801</v>
      </c>
      <c r="H75" t="s">
        <v>1674</v>
      </c>
      <c r="I75" t="s">
        <v>1802</v>
      </c>
      <c r="J75" t="s">
        <v>1674</v>
      </c>
      <c r="K75" t="s">
        <v>1803</v>
      </c>
    </row>
    <row r="76" spans="1:11" x14ac:dyDescent="0.35">
      <c r="A76" t="s">
        <v>1804</v>
      </c>
      <c r="B76" t="s">
        <v>1914</v>
      </c>
      <c r="C76" t="s">
        <v>1914</v>
      </c>
      <c r="D76" t="s">
        <v>1726</v>
      </c>
      <c r="E76" t="s">
        <v>1804</v>
      </c>
      <c r="F76" t="s">
        <v>1674</v>
      </c>
      <c r="G76" t="s">
        <v>1805</v>
      </c>
    </row>
    <row r="77" spans="1:11" x14ac:dyDescent="0.35">
      <c r="A77" t="s">
        <v>1806</v>
      </c>
      <c r="B77" t="s">
        <v>1914</v>
      </c>
      <c r="C77" t="s">
        <v>1914</v>
      </c>
      <c r="D77" t="s">
        <v>1726</v>
      </c>
      <c r="E77" t="s">
        <v>1806</v>
      </c>
    </row>
    <row r="78" spans="1:11" x14ac:dyDescent="0.35">
      <c r="A78" t="s">
        <v>1807</v>
      </c>
      <c r="B78" t="s">
        <v>1914</v>
      </c>
      <c r="C78" t="s">
        <v>1914</v>
      </c>
      <c r="D78" t="s">
        <v>1726</v>
      </c>
      <c r="E78" t="s">
        <v>1807</v>
      </c>
    </row>
    <row r="79" spans="1:11" x14ac:dyDescent="0.35">
      <c r="A79" t="s">
        <v>1808</v>
      </c>
      <c r="B79" t="s">
        <v>1914</v>
      </c>
      <c r="C79" t="s">
        <v>1914</v>
      </c>
      <c r="D79" t="s">
        <v>1726</v>
      </c>
      <c r="E79" t="s">
        <v>1808</v>
      </c>
    </row>
    <row r="80" spans="1:11" x14ac:dyDescent="0.35">
      <c r="A80" t="s">
        <v>1809</v>
      </c>
      <c r="B80" t="s">
        <v>1914</v>
      </c>
      <c r="C80" t="s">
        <v>1914</v>
      </c>
      <c r="D80" t="s">
        <v>1726</v>
      </c>
      <c r="E80" t="s">
        <v>1809</v>
      </c>
    </row>
    <row r="81" spans="1:81" x14ac:dyDescent="0.35">
      <c r="A81" t="s">
        <v>1810</v>
      </c>
      <c r="B81" t="s">
        <v>1914</v>
      </c>
      <c r="C81" t="s">
        <v>1914</v>
      </c>
      <c r="D81" t="s">
        <v>1726</v>
      </c>
      <c r="E81" t="s">
        <v>1810</v>
      </c>
    </row>
    <row r="82" spans="1:81" x14ac:dyDescent="0.35">
      <c r="A82" t="s">
        <v>1811</v>
      </c>
      <c r="B82" t="s">
        <v>1914</v>
      </c>
      <c r="C82" t="s">
        <v>1914</v>
      </c>
      <c r="D82" t="s">
        <v>1726</v>
      </c>
      <c r="E82" t="s">
        <v>1811</v>
      </c>
    </row>
    <row r="83" spans="1:81" x14ac:dyDescent="0.35">
      <c r="A83" t="s">
        <v>27</v>
      </c>
      <c r="B83" t="s">
        <v>1914</v>
      </c>
      <c r="C83" t="s">
        <v>1914</v>
      </c>
      <c r="D83" t="s">
        <v>1726</v>
      </c>
      <c r="E83" t="s">
        <v>27</v>
      </c>
      <c r="F83" t="s">
        <v>1674</v>
      </c>
      <c r="G83" t="s">
        <v>1812</v>
      </c>
      <c r="H83" t="s">
        <v>1674</v>
      </c>
      <c r="I83" t="s">
        <v>1813</v>
      </c>
      <c r="J83" t="s">
        <v>1674</v>
      </c>
      <c r="K83" t="s">
        <v>1814</v>
      </c>
      <c r="L83" t="s">
        <v>1674</v>
      </c>
      <c r="M83" t="s">
        <v>1815</v>
      </c>
      <c r="N83" t="s">
        <v>1674</v>
      </c>
      <c r="O83" t="s">
        <v>1675</v>
      </c>
      <c r="P83" t="s">
        <v>1674</v>
      </c>
      <c r="Q83" t="s">
        <v>1676</v>
      </c>
      <c r="R83" t="s">
        <v>1674</v>
      </c>
      <c r="S83" t="s">
        <v>1677</v>
      </c>
      <c r="T83" t="s">
        <v>1674</v>
      </c>
      <c r="U83" t="s">
        <v>1678</v>
      </c>
      <c r="V83" t="s">
        <v>1674</v>
      </c>
      <c r="W83" t="s">
        <v>1679</v>
      </c>
      <c r="X83" t="s">
        <v>1674</v>
      </c>
      <c r="Y83" t="s">
        <v>1680</v>
      </c>
      <c r="Z83" t="s">
        <v>1674</v>
      </c>
      <c r="AA83" t="s">
        <v>1681</v>
      </c>
      <c r="AB83" t="s">
        <v>1674</v>
      </c>
      <c r="AC83" t="s">
        <v>1682</v>
      </c>
      <c r="AD83" t="s">
        <v>1674</v>
      </c>
      <c r="AE83" t="s">
        <v>1683</v>
      </c>
      <c r="AF83" t="s">
        <v>1674</v>
      </c>
      <c r="AG83" t="s">
        <v>1684</v>
      </c>
      <c r="AH83" t="s">
        <v>1674</v>
      </c>
      <c r="AI83" t="s">
        <v>1685</v>
      </c>
      <c r="AJ83" t="s">
        <v>1674</v>
      </c>
      <c r="AK83" t="s">
        <v>1686</v>
      </c>
      <c r="AL83" t="s">
        <v>1674</v>
      </c>
      <c r="AM83" t="s">
        <v>1687</v>
      </c>
      <c r="AN83" t="s">
        <v>1674</v>
      </c>
      <c r="AO83" t="s">
        <v>1688</v>
      </c>
      <c r="AP83" t="s">
        <v>1674</v>
      </c>
      <c r="AQ83" t="s">
        <v>1689</v>
      </c>
      <c r="AR83" t="s">
        <v>1674</v>
      </c>
      <c r="AS83" t="s">
        <v>1690</v>
      </c>
      <c r="AT83" t="s">
        <v>1674</v>
      </c>
      <c r="AU83" t="s">
        <v>1691</v>
      </c>
      <c r="AV83" t="s">
        <v>1674</v>
      </c>
      <c r="AW83" t="s">
        <v>1692</v>
      </c>
      <c r="AX83" t="s">
        <v>1674</v>
      </c>
      <c r="AY83" t="s">
        <v>1693</v>
      </c>
      <c r="AZ83" t="s">
        <v>1674</v>
      </c>
      <c r="BA83" t="s">
        <v>1694</v>
      </c>
      <c r="BB83" t="s">
        <v>1674</v>
      </c>
      <c r="BC83" t="s">
        <v>1695</v>
      </c>
      <c r="BD83" t="s">
        <v>1674</v>
      </c>
      <c r="BE83" t="s">
        <v>1696</v>
      </c>
      <c r="BF83" t="s">
        <v>1674</v>
      </c>
      <c r="BG83" t="s">
        <v>1697</v>
      </c>
      <c r="BH83" t="s">
        <v>1674</v>
      </c>
      <c r="BI83" t="s">
        <v>1698</v>
      </c>
      <c r="BJ83" t="s">
        <v>1674</v>
      </c>
      <c r="BK83" t="s">
        <v>1699</v>
      </c>
      <c r="BL83" t="s">
        <v>1674</v>
      </c>
      <c r="BM83" t="s">
        <v>1700</v>
      </c>
      <c r="BN83" t="s">
        <v>1674</v>
      </c>
      <c r="BO83" t="s">
        <v>1701</v>
      </c>
      <c r="BP83" t="s">
        <v>1674</v>
      </c>
      <c r="BQ83" t="s">
        <v>1702</v>
      </c>
      <c r="BR83" t="s">
        <v>1674</v>
      </c>
      <c r="BS83" t="s">
        <v>1703</v>
      </c>
      <c r="BT83" t="s">
        <v>1674</v>
      </c>
      <c r="BU83" t="s">
        <v>1704</v>
      </c>
      <c r="BV83" t="s">
        <v>1674</v>
      </c>
      <c r="BW83" t="s">
        <v>1705</v>
      </c>
      <c r="BX83" t="s">
        <v>1674</v>
      </c>
      <c r="BY83" t="s">
        <v>1706</v>
      </c>
      <c r="BZ83" t="s">
        <v>1674</v>
      </c>
      <c r="CA83" t="s">
        <v>1707</v>
      </c>
      <c r="CB83" t="s">
        <v>1674</v>
      </c>
      <c r="CC83" t="s">
        <v>1708</v>
      </c>
    </row>
    <row r="84" spans="1:81" x14ac:dyDescent="0.35">
      <c r="A84" t="s">
        <v>1816</v>
      </c>
      <c r="B84" t="s">
        <v>1914</v>
      </c>
      <c r="C84" t="s">
        <v>1914</v>
      </c>
      <c r="D84" t="s">
        <v>1726</v>
      </c>
      <c r="E84" t="s">
        <v>1816</v>
      </c>
    </row>
    <row r="85" spans="1:81" x14ac:dyDescent="0.35">
      <c r="A85" t="s">
        <v>1817</v>
      </c>
      <c r="B85" t="s">
        <v>1914</v>
      </c>
      <c r="C85" t="s">
        <v>1914</v>
      </c>
      <c r="D85" t="s">
        <v>1726</v>
      </c>
      <c r="E85" t="s">
        <v>1817</v>
      </c>
      <c r="F85" t="s">
        <v>1674</v>
      </c>
      <c r="G85" t="s">
        <v>1817</v>
      </c>
    </row>
    <row r="86" spans="1:81" x14ac:dyDescent="0.35">
      <c r="A86" t="s">
        <v>1818</v>
      </c>
      <c r="B86" t="s">
        <v>1914</v>
      </c>
      <c r="C86" t="s">
        <v>1918</v>
      </c>
      <c r="D86" t="s">
        <v>1726</v>
      </c>
      <c r="E86" t="s">
        <v>1818</v>
      </c>
      <c r="F86" t="s">
        <v>1674</v>
      </c>
      <c r="G86" t="s">
        <v>1819</v>
      </c>
    </row>
    <row r="87" spans="1:81" x14ac:dyDescent="0.35">
      <c r="A87" t="s">
        <v>1820</v>
      </c>
      <c r="B87" t="s">
        <v>1914</v>
      </c>
      <c r="C87" t="s">
        <v>1914</v>
      </c>
      <c r="D87" t="s">
        <v>1726</v>
      </c>
      <c r="E87" t="s">
        <v>1820</v>
      </c>
      <c r="F87" t="s">
        <v>1674</v>
      </c>
      <c r="G87" t="s">
        <v>1821</v>
      </c>
    </row>
    <row r="88" spans="1:81" x14ac:dyDescent="0.35">
      <c r="A88" t="s">
        <v>1822</v>
      </c>
      <c r="B88" t="s">
        <v>1914</v>
      </c>
      <c r="C88" t="s">
        <v>1914</v>
      </c>
      <c r="D88" t="s">
        <v>1726</v>
      </c>
      <c r="E88" t="s">
        <v>1822</v>
      </c>
    </row>
    <row r="89" spans="1:81" x14ac:dyDescent="0.35">
      <c r="A89" t="s">
        <v>1823</v>
      </c>
      <c r="B89" t="s">
        <v>1914</v>
      </c>
      <c r="C89" t="s">
        <v>1914</v>
      </c>
      <c r="D89" t="s">
        <v>1726</v>
      </c>
      <c r="E89" t="s">
        <v>1823</v>
      </c>
    </row>
    <row r="90" spans="1:81" x14ac:dyDescent="0.35">
      <c r="A90" t="s">
        <v>1824</v>
      </c>
      <c r="B90" t="s">
        <v>1914</v>
      </c>
      <c r="C90" t="s">
        <v>1914</v>
      </c>
      <c r="D90" t="s">
        <v>1726</v>
      </c>
      <c r="E90" t="s">
        <v>1824</v>
      </c>
    </row>
    <row r="91" spans="1:81" x14ac:dyDescent="0.35">
      <c r="A91" t="s">
        <v>1825</v>
      </c>
      <c r="B91" t="s">
        <v>1914</v>
      </c>
      <c r="C91" t="s">
        <v>1914</v>
      </c>
      <c r="D91" t="s">
        <v>1726</v>
      </c>
      <c r="E91" t="s">
        <v>1825</v>
      </c>
    </row>
    <row r="92" spans="1:81" x14ac:dyDescent="0.35">
      <c r="A92" t="s">
        <v>1826</v>
      </c>
      <c r="B92" t="s">
        <v>1914</v>
      </c>
      <c r="C92" t="s">
        <v>1914</v>
      </c>
      <c r="D92" t="s">
        <v>1726</v>
      </c>
      <c r="E92" t="s">
        <v>1826</v>
      </c>
      <c r="F92" t="s">
        <v>1674</v>
      </c>
      <c r="G92" t="s">
        <v>1827</v>
      </c>
      <c r="H92" t="s">
        <v>1674</v>
      </c>
      <c r="I92" t="s">
        <v>1828</v>
      </c>
    </row>
    <row r="93" spans="1:81" x14ac:dyDescent="0.35">
      <c r="A93" t="s">
        <v>1829</v>
      </c>
      <c r="B93" t="s">
        <v>1914</v>
      </c>
      <c r="C93" t="s">
        <v>1914</v>
      </c>
      <c r="D93" t="s">
        <v>1726</v>
      </c>
      <c r="E93" t="s">
        <v>1829</v>
      </c>
      <c r="F93" t="s">
        <v>1674</v>
      </c>
      <c r="G93" t="s">
        <v>1830</v>
      </c>
      <c r="H93" t="s">
        <v>1674</v>
      </c>
      <c r="I93" t="s">
        <v>1831</v>
      </c>
    </row>
    <row r="94" spans="1:81" x14ac:dyDescent="0.35">
      <c r="A94" t="s">
        <v>1832</v>
      </c>
      <c r="B94" t="s">
        <v>1914</v>
      </c>
      <c r="C94" t="s">
        <v>1914</v>
      </c>
      <c r="D94" t="s">
        <v>1726</v>
      </c>
      <c r="E94" t="s">
        <v>1832</v>
      </c>
      <c r="F94" t="s">
        <v>1674</v>
      </c>
      <c r="G94" t="s">
        <v>1833</v>
      </c>
    </row>
    <row r="95" spans="1:81" x14ac:dyDescent="0.35">
      <c r="A95" t="s">
        <v>1834</v>
      </c>
      <c r="B95" t="s">
        <v>1914</v>
      </c>
      <c r="C95" t="s">
        <v>1914</v>
      </c>
      <c r="D95" t="s">
        <v>1726</v>
      </c>
      <c r="E95" t="s">
        <v>1834</v>
      </c>
    </row>
    <row r="96" spans="1:81" x14ac:dyDescent="0.35">
      <c r="A96" t="s">
        <v>1835</v>
      </c>
      <c r="B96" t="s">
        <v>1914</v>
      </c>
      <c r="C96" t="s">
        <v>1914</v>
      </c>
      <c r="D96" t="s">
        <v>1726</v>
      </c>
      <c r="E96" t="s">
        <v>1835</v>
      </c>
    </row>
    <row r="97" spans="1:11" x14ac:dyDescent="0.35">
      <c r="A97" t="s">
        <v>1836</v>
      </c>
      <c r="B97" t="s">
        <v>1914</v>
      </c>
      <c r="C97" t="s">
        <v>1914</v>
      </c>
      <c r="D97" t="s">
        <v>1726</v>
      </c>
      <c r="E97" t="s">
        <v>1836</v>
      </c>
    </row>
    <row r="98" spans="1:11" x14ac:dyDescent="0.35">
      <c r="A98" t="s">
        <v>1837</v>
      </c>
      <c r="B98" t="s">
        <v>1914</v>
      </c>
      <c r="C98" t="s">
        <v>1914</v>
      </c>
      <c r="D98" t="s">
        <v>1726</v>
      </c>
      <c r="E98" t="s">
        <v>1837</v>
      </c>
      <c r="F98" t="s">
        <v>1674</v>
      </c>
      <c r="G98" t="s">
        <v>1838</v>
      </c>
    </row>
    <row r="99" spans="1:11" x14ac:dyDescent="0.35">
      <c r="A99" t="s">
        <v>1839</v>
      </c>
      <c r="B99" t="s">
        <v>1914</v>
      </c>
      <c r="C99" t="s">
        <v>1914</v>
      </c>
      <c r="D99" t="s">
        <v>1726</v>
      </c>
      <c r="E99" t="s">
        <v>1839</v>
      </c>
      <c r="F99" t="s">
        <v>1674</v>
      </c>
      <c r="G99" t="s">
        <v>1840</v>
      </c>
    </row>
    <row r="100" spans="1:11" x14ac:dyDescent="0.35">
      <c r="A100" t="s">
        <v>1841</v>
      </c>
      <c r="B100" t="s">
        <v>1914</v>
      </c>
      <c r="C100" t="s">
        <v>1914</v>
      </c>
      <c r="D100" t="s">
        <v>1726</v>
      </c>
      <c r="E100" t="s">
        <v>1841</v>
      </c>
      <c r="F100" t="s">
        <v>1674</v>
      </c>
      <c r="G100" t="s">
        <v>1842</v>
      </c>
      <c r="H100" t="s">
        <v>1674</v>
      </c>
      <c r="I100" t="s">
        <v>1843</v>
      </c>
    </row>
    <row r="101" spans="1:11" x14ac:dyDescent="0.35">
      <c r="A101" t="s">
        <v>1844</v>
      </c>
      <c r="B101" t="s">
        <v>1914</v>
      </c>
      <c r="C101" t="s">
        <v>1914</v>
      </c>
      <c r="D101" t="s">
        <v>1726</v>
      </c>
      <c r="E101" t="s">
        <v>1844</v>
      </c>
      <c r="F101" t="s">
        <v>1674</v>
      </c>
      <c r="G101" t="s">
        <v>1689</v>
      </c>
    </row>
    <row r="102" spans="1:11" x14ac:dyDescent="0.35">
      <c r="A102" t="s">
        <v>1845</v>
      </c>
      <c r="B102" t="s">
        <v>1914</v>
      </c>
      <c r="C102" t="s">
        <v>1914</v>
      </c>
      <c r="D102" t="s">
        <v>1726</v>
      </c>
      <c r="E102" t="s">
        <v>1845</v>
      </c>
    </row>
    <row r="103" spans="1:11" x14ac:dyDescent="0.35">
      <c r="A103" t="s">
        <v>1846</v>
      </c>
      <c r="B103" t="s">
        <v>1914</v>
      </c>
      <c r="C103" t="s">
        <v>1919</v>
      </c>
      <c r="D103" t="s">
        <v>1726</v>
      </c>
      <c r="E103" t="s">
        <v>1846</v>
      </c>
      <c r="F103" t="s">
        <v>1674</v>
      </c>
      <c r="G103" t="s">
        <v>1847</v>
      </c>
    </row>
    <row r="104" spans="1:11" x14ac:dyDescent="0.35">
      <c r="A104" t="s">
        <v>1848</v>
      </c>
      <c r="B104" t="s">
        <v>1914</v>
      </c>
      <c r="C104" t="s">
        <v>1914</v>
      </c>
      <c r="D104" t="s">
        <v>1726</v>
      </c>
      <c r="E104" t="s">
        <v>1848</v>
      </c>
    </row>
    <row r="105" spans="1:11" x14ac:dyDescent="0.35">
      <c r="A105" t="s">
        <v>1849</v>
      </c>
      <c r="B105" t="s">
        <v>1914</v>
      </c>
      <c r="C105" t="s">
        <v>1914</v>
      </c>
      <c r="D105" t="s">
        <v>1726</v>
      </c>
      <c r="E105" t="s">
        <v>1849</v>
      </c>
      <c r="F105" t="s">
        <v>1674</v>
      </c>
      <c r="G105" t="s">
        <v>1850</v>
      </c>
    </row>
    <row r="106" spans="1:11" x14ac:dyDescent="0.35">
      <c r="A106" t="s">
        <v>1851</v>
      </c>
      <c r="B106" t="s">
        <v>1914</v>
      </c>
      <c r="C106" t="s">
        <v>1914</v>
      </c>
      <c r="D106" t="s">
        <v>1726</v>
      </c>
      <c r="E106" t="s">
        <v>1851</v>
      </c>
    </row>
    <row r="107" spans="1:11" x14ac:dyDescent="0.35">
      <c r="A107" t="s">
        <v>1852</v>
      </c>
      <c r="B107" t="s">
        <v>1914</v>
      </c>
      <c r="C107" t="s">
        <v>1914</v>
      </c>
      <c r="D107" t="s">
        <v>1726</v>
      </c>
      <c r="E107" t="s">
        <v>1852</v>
      </c>
      <c r="F107" t="s">
        <v>1674</v>
      </c>
      <c r="G107" t="s">
        <v>1853</v>
      </c>
      <c r="H107" t="s">
        <v>1674</v>
      </c>
      <c r="I107" t="s">
        <v>1854</v>
      </c>
    </row>
    <row r="108" spans="1:11" x14ac:dyDescent="0.35">
      <c r="A108" t="s">
        <v>1855</v>
      </c>
      <c r="B108" t="s">
        <v>1914</v>
      </c>
      <c r="C108" t="s">
        <v>1914</v>
      </c>
      <c r="D108" t="s">
        <v>1726</v>
      </c>
      <c r="E108" t="s">
        <v>1855</v>
      </c>
      <c r="F108" t="s">
        <v>1674</v>
      </c>
      <c r="G108" t="s">
        <v>1856</v>
      </c>
      <c r="H108" t="s">
        <v>1674</v>
      </c>
      <c r="I108" t="s">
        <v>1857</v>
      </c>
      <c r="J108" t="s">
        <v>1674</v>
      </c>
      <c r="K108" t="s">
        <v>1858</v>
      </c>
    </row>
    <row r="109" spans="1:11" x14ac:dyDescent="0.35">
      <c r="A109" t="s">
        <v>1859</v>
      </c>
      <c r="B109" t="s">
        <v>1914</v>
      </c>
      <c r="C109" t="s">
        <v>1914</v>
      </c>
      <c r="D109" t="s">
        <v>1726</v>
      </c>
      <c r="E109" t="s">
        <v>1859</v>
      </c>
      <c r="F109" t="s">
        <v>1674</v>
      </c>
      <c r="G109" t="s">
        <v>1751</v>
      </c>
    </row>
    <row r="110" spans="1:11" x14ac:dyDescent="0.35">
      <c r="A110" t="s">
        <v>1860</v>
      </c>
      <c r="B110" t="s">
        <v>1914</v>
      </c>
      <c r="C110" t="s">
        <v>1920</v>
      </c>
      <c r="D110" t="s">
        <v>1726</v>
      </c>
      <c r="E110" t="s">
        <v>1860</v>
      </c>
    </row>
    <row r="111" spans="1:11" x14ac:dyDescent="0.35">
      <c r="A111" t="s">
        <v>1861</v>
      </c>
      <c r="B111" t="s">
        <v>1914</v>
      </c>
      <c r="C111" t="s">
        <v>1914</v>
      </c>
      <c r="D111" t="s">
        <v>1726</v>
      </c>
      <c r="E111" t="s">
        <v>1861</v>
      </c>
      <c r="F111" t="s">
        <v>1674</v>
      </c>
      <c r="G111" t="s">
        <v>1861</v>
      </c>
    </row>
    <row r="112" spans="1:11" x14ac:dyDescent="0.35">
      <c r="A112" t="s">
        <v>1862</v>
      </c>
      <c r="B112" t="s">
        <v>1914</v>
      </c>
      <c r="C112" t="s">
        <v>1914</v>
      </c>
      <c r="D112" t="s">
        <v>1726</v>
      </c>
      <c r="E112" t="s">
        <v>1862</v>
      </c>
      <c r="F112" t="s">
        <v>1674</v>
      </c>
      <c r="G112" t="s">
        <v>1861</v>
      </c>
    </row>
    <row r="113" spans="1:13" x14ac:dyDescent="0.35">
      <c r="A113" t="s">
        <v>1863</v>
      </c>
      <c r="B113" t="s">
        <v>1914</v>
      </c>
      <c r="C113" t="s">
        <v>1914</v>
      </c>
      <c r="D113" t="s">
        <v>1726</v>
      </c>
      <c r="E113" t="s">
        <v>1863</v>
      </c>
      <c r="F113" t="s">
        <v>1674</v>
      </c>
      <c r="G113" t="s">
        <v>1864</v>
      </c>
    </row>
    <row r="114" spans="1:13" x14ac:dyDescent="0.35">
      <c r="A114" t="s">
        <v>1865</v>
      </c>
      <c r="B114" t="s">
        <v>1914</v>
      </c>
      <c r="C114" t="s">
        <v>1914</v>
      </c>
      <c r="D114" t="s">
        <v>1726</v>
      </c>
      <c r="E114" t="s">
        <v>1865</v>
      </c>
    </row>
    <row r="115" spans="1:13" x14ac:dyDescent="0.35">
      <c r="A115" t="s">
        <v>1866</v>
      </c>
      <c r="B115" t="s">
        <v>1914</v>
      </c>
      <c r="C115" t="s">
        <v>1914</v>
      </c>
      <c r="D115" t="s">
        <v>1726</v>
      </c>
      <c r="E115" t="s">
        <v>1866</v>
      </c>
      <c r="F115" t="s">
        <v>1674</v>
      </c>
      <c r="G115" t="s">
        <v>1867</v>
      </c>
      <c r="H115" t="s">
        <v>1674</v>
      </c>
      <c r="I115" t="s">
        <v>1868</v>
      </c>
    </row>
    <row r="116" spans="1:13" x14ac:dyDescent="0.35">
      <c r="A116" t="s">
        <v>1869</v>
      </c>
      <c r="B116" t="s">
        <v>1914</v>
      </c>
      <c r="C116" t="s">
        <v>1914</v>
      </c>
      <c r="D116" t="s">
        <v>1726</v>
      </c>
      <c r="E116" t="s">
        <v>1869</v>
      </c>
    </row>
    <row r="117" spans="1:13" x14ac:dyDescent="0.35">
      <c r="A117" t="s">
        <v>1870</v>
      </c>
      <c r="B117" t="s">
        <v>1914</v>
      </c>
      <c r="C117" t="s">
        <v>1921</v>
      </c>
      <c r="D117" t="s">
        <v>1726</v>
      </c>
      <c r="E117" t="s">
        <v>1870</v>
      </c>
    </row>
    <row r="118" spans="1:13" x14ac:dyDescent="0.35">
      <c r="A118" t="s">
        <v>1871</v>
      </c>
      <c r="B118" t="s">
        <v>1914</v>
      </c>
      <c r="C118" t="s">
        <v>1914</v>
      </c>
      <c r="D118" t="s">
        <v>1726</v>
      </c>
      <c r="E118" t="s">
        <v>1871</v>
      </c>
      <c r="F118" t="s">
        <v>1674</v>
      </c>
      <c r="G118" t="s">
        <v>1872</v>
      </c>
      <c r="H118" t="s">
        <v>1674</v>
      </c>
      <c r="I118" t="s">
        <v>1873</v>
      </c>
      <c r="J118" t="s">
        <v>1674</v>
      </c>
      <c r="K118" t="s">
        <v>1874</v>
      </c>
      <c r="L118" t="s">
        <v>1674</v>
      </c>
      <c r="M118" t="s">
        <v>1875</v>
      </c>
    </row>
    <row r="119" spans="1:13" x14ac:dyDescent="0.35">
      <c r="A119" t="s">
        <v>1876</v>
      </c>
      <c r="B119" t="s">
        <v>1914</v>
      </c>
      <c r="C119" t="s">
        <v>1914</v>
      </c>
      <c r="D119" t="s">
        <v>1726</v>
      </c>
      <c r="E119" t="s">
        <v>1876</v>
      </c>
      <c r="F119" t="s">
        <v>1674</v>
      </c>
      <c r="G119" t="s">
        <v>1872</v>
      </c>
      <c r="H119" t="s">
        <v>1674</v>
      </c>
      <c r="I119" t="s">
        <v>1873</v>
      </c>
      <c r="J119" t="s">
        <v>1674</v>
      </c>
      <c r="K119" t="s">
        <v>1874</v>
      </c>
      <c r="L119" t="s">
        <v>1674</v>
      </c>
      <c r="M119" t="s">
        <v>1875</v>
      </c>
    </row>
    <row r="120" spans="1:13" x14ac:dyDescent="0.35">
      <c r="A120" t="s">
        <v>1877</v>
      </c>
      <c r="B120" t="s">
        <v>1914</v>
      </c>
      <c r="C120" t="s">
        <v>1914</v>
      </c>
      <c r="D120" t="s">
        <v>1726</v>
      </c>
      <c r="E120" t="s">
        <v>1877</v>
      </c>
      <c r="F120" t="s">
        <v>1674</v>
      </c>
      <c r="G120" t="s">
        <v>1877</v>
      </c>
    </row>
    <row r="121" spans="1:13" x14ac:dyDescent="0.35">
      <c r="A121" t="s">
        <v>1878</v>
      </c>
      <c r="B121" t="s">
        <v>1914</v>
      </c>
      <c r="C121" t="s">
        <v>1878</v>
      </c>
      <c r="D121" t="s">
        <v>1726</v>
      </c>
      <c r="E121" t="s">
        <v>1878</v>
      </c>
      <c r="F121" t="s">
        <v>1674</v>
      </c>
      <c r="G121" t="s">
        <v>1879</v>
      </c>
    </row>
    <row r="122" spans="1:13" x14ac:dyDescent="0.35">
      <c r="A122" t="s">
        <v>1880</v>
      </c>
      <c r="B122" t="s">
        <v>1914</v>
      </c>
      <c r="C122" t="s">
        <v>1914</v>
      </c>
      <c r="D122" t="s">
        <v>1726</v>
      </c>
      <c r="E122" t="s">
        <v>1880</v>
      </c>
      <c r="F122" t="s">
        <v>1674</v>
      </c>
      <c r="G122" t="s">
        <v>1881</v>
      </c>
    </row>
    <row r="123" spans="1:13" x14ac:dyDescent="0.35">
      <c r="A123" t="s">
        <v>1882</v>
      </c>
      <c r="B123" t="s">
        <v>1914</v>
      </c>
      <c r="C123" t="s">
        <v>1922</v>
      </c>
      <c r="D123" t="s">
        <v>1726</v>
      </c>
      <c r="E123" t="s">
        <v>1882</v>
      </c>
      <c r="F123" t="s">
        <v>1674</v>
      </c>
      <c r="G123" t="s">
        <v>1883</v>
      </c>
    </row>
    <row r="124" spans="1:13" x14ac:dyDescent="0.35">
      <c r="A124" t="s">
        <v>1884</v>
      </c>
      <c r="B124" t="s">
        <v>1914</v>
      </c>
      <c r="C124" t="s">
        <v>1914</v>
      </c>
      <c r="D124" t="s">
        <v>1726</v>
      </c>
      <c r="E124" t="s">
        <v>1884</v>
      </c>
      <c r="F124" t="s">
        <v>1674</v>
      </c>
      <c r="G124" t="s">
        <v>1884</v>
      </c>
    </row>
    <row r="125" spans="1:13" x14ac:dyDescent="0.35">
      <c r="A125" t="s">
        <v>1885</v>
      </c>
      <c r="B125" t="s">
        <v>1914</v>
      </c>
      <c r="C125" t="s">
        <v>1914</v>
      </c>
      <c r="D125" t="s">
        <v>1726</v>
      </c>
      <c r="E125" t="s">
        <v>1885</v>
      </c>
    </row>
    <row r="126" spans="1:13" x14ac:dyDescent="0.35">
      <c r="A126" t="s">
        <v>1886</v>
      </c>
      <c r="B126" t="s">
        <v>1914</v>
      </c>
      <c r="C126" t="s">
        <v>1914</v>
      </c>
      <c r="D126" t="s">
        <v>1726</v>
      </c>
      <c r="E126" t="s">
        <v>1886</v>
      </c>
    </row>
    <row r="127" spans="1:13" x14ac:dyDescent="0.35">
      <c r="A127" t="s">
        <v>1887</v>
      </c>
      <c r="B127" t="s">
        <v>1914</v>
      </c>
      <c r="C127" t="s">
        <v>1914</v>
      </c>
      <c r="D127" t="s">
        <v>1726</v>
      </c>
      <c r="E127" t="s">
        <v>1887</v>
      </c>
      <c r="F127" t="s">
        <v>1674</v>
      </c>
      <c r="G127" t="s">
        <v>1888</v>
      </c>
    </row>
    <row r="128" spans="1:13" x14ac:dyDescent="0.35">
      <c r="A128" t="s">
        <v>1889</v>
      </c>
      <c r="B128" t="s">
        <v>1914</v>
      </c>
      <c r="C128" t="s">
        <v>1916</v>
      </c>
      <c r="D128" t="s">
        <v>1726</v>
      </c>
      <c r="E128" t="s">
        <v>1889</v>
      </c>
      <c r="F128" t="s">
        <v>1674</v>
      </c>
      <c r="G128" t="s">
        <v>1890</v>
      </c>
    </row>
    <row r="129" spans="1:45" x14ac:dyDescent="0.35">
      <c r="A129" t="s">
        <v>1891</v>
      </c>
      <c r="B129" t="s">
        <v>1914</v>
      </c>
      <c r="C129" t="s">
        <v>1914</v>
      </c>
      <c r="D129" t="s">
        <v>1726</v>
      </c>
      <c r="E129" t="s">
        <v>1891</v>
      </c>
    </row>
    <row r="130" spans="1:45" x14ac:dyDescent="0.35">
      <c r="A130" t="s">
        <v>1892</v>
      </c>
      <c r="B130" t="s">
        <v>1914</v>
      </c>
      <c r="C130" t="s">
        <v>1914</v>
      </c>
      <c r="D130" t="s">
        <v>1726</v>
      </c>
      <c r="E130" t="s">
        <v>1892</v>
      </c>
    </row>
    <row r="131" spans="1:45" x14ac:dyDescent="0.35">
      <c r="A131" t="s">
        <v>774</v>
      </c>
      <c r="B131" t="s">
        <v>1914</v>
      </c>
      <c r="C131" t="s">
        <v>1914</v>
      </c>
      <c r="D131" t="s">
        <v>1726</v>
      </c>
      <c r="E131" t="s">
        <v>774</v>
      </c>
      <c r="F131" t="s">
        <v>1674</v>
      </c>
      <c r="G131" t="s">
        <v>1893</v>
      </c>
    </row>
    <row r="132" spans="1:45" x14ac:dyDescent="0.35">
      <c r="A132" t="s">
        <v>1894</v>
      </c>
      <c r="B132" t="s">
        <v>1914</v>
      </c>
      <c r="C132" t="s">
        <v>1914</v>
      </c>
      <c r="D132" t="s">
        <v>1726</v>
      </c>
      <c r="E132" t="s">
        <v>1894</v>
      </c>
      <c r="F132" t="s">
        <v>1674</v>
      </c>
      <c r="G132" t="s">
        <v>1894</v>
      </c>
    </row>
    <row r="133" spans="1:45" x14ac:dyDescent="0.35">
      <c r="A133" t="s">
        <v>1895</v>
      </c>
      <c r="B133" t="s">
        <v>1914</v>
      </c>
      <c r="C133" t="s">
        <v>1914</v>
      </c>
      <c r="D133" t="s">
        <v>1726</v>
      </c>
      <c r="E133" t="s">
        <v>1895</v>
      </c>
      <c r="F133" t="s">
        <v>1674</v>
      </c>
      <c r="G133" t="s">
        <v>1771</v>
      </c>
    </row>
    <row r="134" spans="1:45" x14ac:dyDescent="0.35">
      <c r="A134" t="s">
        <v>1896</v>
      </c>
      <c r="B134" t="s">
        <v>1914</v>
      </c>
      <c r="C134" t="s">
        <v>1914</v>
      </c>
      <c r="D134" t="s">
        <v>1726</v>
      </c>
      <c r="E134" t="s">
        <v>1896</v>
      </c>
    </row>
    <row r="135" spans="1:45" x14ac:dyDescent="0.35">
      <c r="A135" t="s">
        <v>1897</v>
      </c>
      <c r="B135" t="s">
        <v>1914</v>
      </c>
      <c r="C135" t="s">
        <v>1914</v>
      </c>
      <c r="D135" t="s">
        <v>1726</v>
      </c>
      <c r="E135" t="s">
        <v>1897</v>
      </c>
      <c r="F135" t="s">
        <v>1674</v>
      </c>
      <c r="G135" t="s">
        <v>1897</v>
      </c>
      <c r="H135" t="s">
        <v>1674</v>
      </c>
      <c r="I135" t="s">
        <v>1898</v>
      </c>
    </row>
    <row r="136" spans="1:45" x14ac:dyDescent="0.35">
      <c r="A136" t="s">
        <v>1899</v>
      </c>
      <c r="B136" t="s">
        <v>1914</v>
      </c>
      <c r="C136" t="s">
        <v>1914</v>
      </c>
      <c r="D136" t="s">
        <v>1726</v>
      </c>
      <c r="E136" t="s">
        <v>1899</v>
      </c>
      <c r="F136" t="s">
        <v>1674</v>
      </c>
      <c r="G136" t="s">
        <v>1899</v>
      </c>
    </row>
    <row r="137" spans="1:45" x14ac:dyDescent="0.35">
      <c r="A137" t="s">
        <v>1900</v>
      </c>
      <c r="B137" t="s">
        <v>1914</v>
      </c>
      <c r="C137" t="s">
        <v>1914</v>
      </c>
      <c r="D137" t="s">
        <v>1726</v>
      </c>
      <c r="E137" t="s">
        <v>1900</v>
      </c>
      <c r="F137" t="s">
        <v>1674</v>
      </c>
      <c r="G137" t="s">
        <v>1901</v>
      </c>
    </row>
    <row r="138" spans="1:45" x14ac:dyDescent="0.35">
      <c r="A138" t="s">
        <v>1902</v>
      </c>
      <c r="B138" t="s">
        <v>1914</v>
      </c>
      <c r="C138" t="s">
        <v>1914</v>
      </c>
      <c r="D138" t="s">
        <v>1726</v>
      </c>
      <c r="E138" t="s">
        <v>1902</v>
      </c>
      <c r="F138" t="s">
        <v>1674</v>
      </c>
      <c r="G138" t="s">
        <v>1903</v>
      </c>
      <c r="H138" t="s">
        <v>1674</v>
      </c>
      <c r="I138" t="s">
        <v>1904</v>
      </c>
      <c r="J138" t="s">
        <v>1674</v>
      </c>
      <c r="K138" t="s">
        <v>1905</v>
      </c>
      <c r="L138" t="s">
        <v>1674</v>
      </c>
      <c r="M138" t="s">
        <v>1906</v>
      </c>
      <c r="N138" t="s">
        <v>1674</v>
      </c>
      <c r="O138" t="s">
        <v>1709</v>
      </c>
      <c r="P138" t="s">
        <v>1674</v>
      </c>
      <c r="Q138" t="s">
        <v>1710</v>
      </c>
      <c r="R138" t="s">
        <v>1674</v>
      </c>
      <c r="S138" t="s">
        <v>1711</v>
      </c>
      <c r="T138" t="s">
        <v>1674</v>
      </c>
      <c r="U138" t="s">
        <v>1712</v>
      </c>
      <c r="V138" t="s">
        <v>1674</v>
      </c>
      <c r="W138" t="s">
        <v>1713</v>
      </c>
      <c r="X138" t="s">
        <v>1674</v>
      </c>
      <c r="Y138" t="s">
        <v>1714</v>
      </c>
      <c r="Z138" t="s">
        <v>1674</v>
      </c>
      <c r="AA138" t="s">
        <v>1715</v>
      </c>
      <c r="AB138" t="s">
        <v>1674</v>
      </c>
      <c r="AC138" t="s">
        <v>1716</v>
      </c>
      <c r="AD138" t="s">
        <v>1674</v>
      </c>
      <c r="AE138" t="s">
        <v>1717</v>
      </c>
      <c r="AF138" t="s">
        <v>1674</v>
      </c>
      <c r="AG138" t="s">
        <v>1718</v>
      </c>
      <c r="AH138" t="s">
        <v>1674</v>
      </c>
      <c r="AI138" t="s">
        <v>1719</v>
      </c>
      <c r="AJ138" t="s">
        <v>1674</v>
      </c>
      <c r="AK138" t="s">
        <v>1720</v>
      </c>
      <c r="AL138" t="s">
        <v>1674</v>
      </c>
      <c r="AM138" t="s">
        <v>1721</v>
      </c>
      <c r="AN138" t="s">
        <v>1674</v>
      </c>
      <c r="AO138" t="s">
        <v>1722</v>
      </c>
      <c r="AP138" t="s">
        <v>1674</v>
      </c>
      <c r="AQ138" t="s">
        <v>1723</v>
      </c>
      <c r="AR138" t="s">
        <v>1674</v>
      </c>
      <c r="AS138" t="s">
        <v>1724</v>
      </c>
    </row>
    <row r="139" spans="1:45" x14ac:dyDescent="0.35">
      <c r="A139" t="s">
        <v>1907</v>
      </c>
      <c r="B139" t="s">
        <v>1914</v>
      </c>
      <c r="C139" t="s">
        <v>1914</v>
      </c>
      <c r="D139" t="s">
        <v>1726</v>
      </c>
      <c r="E139" t="s">
        <v>1907</v>
      </c>
      <c r="F139" t="s">
        <v>1674</v>
      </c>
      <c r="G139" t="s">
        <v>1908</v>
      </c>
      <c r="H139" t="s">
        <v>1674</v>
      </c>
      <c r="I139" t="s">
        <v>1909</v>
      </c>
      <c r="J139" t="s">
        <v>1674</v>
      </c>
      <c r="K139" t="s">
        <v>1910</v>
      </c>
      <c r="L139" t="s">
        <v>1674</v>
      </c>
      <c r="M139" t="s">
        <v>1911</v>
      </c>
      <c r="N139" t="s">
        <v>1674</v>
      </c>
      <c r="O139" t="s">
        <v>1725</v>
      </c>
    </row>
    <row r="140" spans="1:45" x14ac:dyDescent="0.35">
      <c r="A140" t="s">
        <v>1912</v>
      </c>
      <c r="B140" t="s">
        <v>1914</v>
      </c>
      <c r="C140" t="s">
        <v>1914</v>
      </c>
      <c r="D140" t="s">
        <v>1726</v>
      </c>
      <c r="E140" t="s">
        <v>1912</v>
      </c>
      <c r="F140" t="s">
        <v>1674</v>
      </c>
      <c r="G140" t="s">
        <v>1913</v>
      </c>
    </row>
    <row r="141" spans="1:45" x14ac:dyDescent="0.35">
      <c r="A141" t="s">
        <v>1923</v>
      </c>
      <c r="B141" t="s">
        <v>1914</v>
      </c>
      <c r="C141" t="s">
        <v>1914</v>
      </c>
      <c r="D141" t="str">
        <f>CONCATENATE("Schematic\",E141,".SchLib")</f>
        <v>Schematic\M80-4001042.SchLib</v>
      </c>
      <c r="E141" t="s">
        <v>1177</v>
      </c>
      <c r="F141" t="s">
        <v>1674</v>
      </c>
      <c r="G141" t="s">
        <v>1908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6" sqref="M6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36328125" customWidth="1"/>
    <col min="5" max="5" width="20.54296875" customWidth="1"/>
    <col min="6" max="6" width="21.6328125" customWidth="1"/>
    <col min="7" max="7" width="17.6328125" customWidth="1"/>
    <col min="8" max="8" width="22.6328125" customWidth="1"/>
    <col min="9" max="9" width="18.453125" customWidth="1"/>
    <col min="10" max="10" width="16.6328125" customWidth="1"/>
    <col min="11" max="11" width="12.453125" customWidth="1"/>
    <col min="12" max="12" width="13.3632812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1455</v>
      </c>
      <c r="L1" s="1" t="s">
        <v>955</v>
      </c>
      <c r="M1" s="48" t="s">
        <v>1422</v>
      </c>
      <c r="N1" s="17"/>
      <c r="O1" s="1"/>
      <c r="P1" s="1"/>
      <c r="Q1" s="1"/>
    </row>
    <row r="2" spans="1:17" ht="15.5" x14ac:dyDescent="0.35">
      <c r="A2" s="21" t="s">
        <v>930</v>
      </c>
      <c r="B2" s="22" t="s">
        <v>931</v>
      </c>
      <c r="C2" s="20" t="str">
        <f>A2</f>
        <v>TS820-600B-TR</v>
      </c>
      <c r="D2" s="22" t="s">
        <v>933</v>
      </c>
      <c r="E2" s="22" t="s">
        <v>932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934</v>
      </c>
      <c r="K2" s="25" t="s">
        <v>935</v>
      </c>
      <c r="L2" s="25"/>
      <c r="M2" s="2" t="s">
        <v>1423</v>
      </c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7"/>
  <sheetViews>
    <sheetView zoomScale="55" zoomScaleNormal="55" workbookViewId="0">
      <selection activeCell="J1" sqref="J1:L1048576"/>
    </sheetView>
  </sheetViews>
  <sheetFormatPr defaultRowHeight="14.5" x14ac:dyDescent="0.35"/>
  <cols>
    <col min="1" max="1" width="14.6328125" customWidth="1"/>
    <col min="2" max="2" width="40.453125" customWidth="1"/>
    <col min="3" max="3" width="13.36328125" customWidth="1"/>
    <col min="4" max="4" width="45.6328125" customWidth="1"/>
    <col min="5" max="5" width="17.36328125" customWidth="1"/>
    <col min="6" max="6" width="51" customWidth="1"/>
    <col min="7" max="7" width="16.6328125" customWidth="1"/>
    <col min="8" max="8" width="44.453125" customWidth="1"/>
    <col min="9" max="9" width="23.6328125" customWidth="1"/>
    <col min="10" max="10" width="28.6328125" customWidth="1"/>
    <col min="11" max="11" width="11.632812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955</v>
      </c>
      <c r="K1" s="1" t="s">
        <v>978</v>
      </c>
      <c r="L1" s="48" t="s">
        <v>1422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979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979</v>
      </c>
    </row>
    <row r="4" spans="1:12" x14ac:dyDescent="0.35">
      <c r="A4" t="s">
        <v>881</v>
      </c>
      <c r="B4" t="s">
        <v>108</v>
      </c>
      <c r="C4" s="2" t="s">
        <v>881</v>
      </c>
      <c r="D4" t="s">
        <v>348</v>
      </c>
      <c r="E4" s="2" t="s">
        <v>113</v>
      </c>
      <c r="F4" t="s">
        <v>949</v>
      </c>
      <c r="G4" t="s">
        <v>107</v>
      </c>
      <c r="K4" t="s">
        <v>979</v>
      </c>
      <c r="L4" t="s">
        <v>1447</v>
      </c>
    </row>
    <row r="5" spans="1:12" x14ac:dyDescent="0.3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979</v>
      </c>
      <c r="L5" t="s">
        <v>1447</v>
      </c>
    </row>
    <row r="6" spans="1:12" x14ac:dyDescent="0.3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979</v>
      </c>
    </row>
    <row r="7" spans="1:12" x14ac:dyDescent="0.35">
      <c r="A7" t="s">
        <v>846</v>
      </c>
      <c r="B7" t="s">
        <v>118</v>
      </c>
      <c r="C7" s="2" t="s">
        <v>846</v>
      </c>
      <c r="D7" t="s">
        <v>659</v>
      </c>
      <c r="E7" s="2" t="s">
        <v>657</v>
      </c>
      <c r="F7" t="s">
        <v>847</v>
      </c>
      <c r="G7" t="s">
        <v>846</v>
      </c>
      <c r="K7" t="s">
        <v>979</v>
      </c>
      <c r="L7" t="s">
        <v>1423</v>
      </c>
    </row>
    <row r="8" spans="1:12" x14ac:dyDescent="0.3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979</v>
      </c>
    </row>
    <row r="9" spans="1:12" x14ac:dyDescent="0.35">
      <c r="A9" t="s">
        <v>332</v>
      </c>
      <c r="B9" t="s">
        <v>656</v>
      </c>
      <c r="C9" s="2" t="s">
        <v>332</v>
      </c>
      <c r="D9" t="s">
        <v>845</v>
      </c>
      <c r="E9" t="s">
        <v>844</v>
      </c>
      <c r="F9" t="s">
        <v>356</v>
      </c>
      <c r="G9" t="s">
        <v>332</v>
      </c>
      <c r="K9" t="s">
        <v>979</v>
      </c>
      <c r="L9" t="s">
        <v>1423</v>
      </c>
    </row>
    <row r="10" spans="1:12" x14ac:dyDescent="0.3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979</v>
      </c>
    </row>
    <row r="11" spans="1:12" x14ac:dyDescent="0.3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979</v>
      </c>
      <c r="L11" t="s">
        <v>1423</v>
      </c>
    </row>
    <row r="12" spans="1:12" x14ac:dyDescent="0.3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979</v>
      </c>
      <c r="L12" t="s">
        <v>1423</v>
      </c>
    </row>
    <row r="13" spans="1:12" x14ac:dyDescent="0.35">
      <c r="A13" t="s">
        <v>654</v>
      </c>
      <c r="B13" t="s">
        <v>655</v>
      </c>
      <c r="C13" s="2"/>
      <c r="D13" t="s">
        <v>659</v>
      </c>
      <c r="E13" t="s">
        <v>657</v>
      </c>
      <c r="F13" t="s">
        <v>658</v>
      </c>
      <c r="G13" t="s">
        <v>654</v>
      </c>
      <c r="K13" t="s">
        <v>979</v>
      </c>
    </row>
    <row r="14" spans="1:12" x14ac:dyDescent="0.35">
      <c r="A14" t="s">
        <v>684</v>
      </c>
      <c r="B14" t="s">
        <v>685</v>
      </c>
      <c r="C14" s="2" t="s">
        <v>686</v>
      </c>
      <c r="D14" t="s">
        <v>687</v>
      </c>
      <c r="E14" t="s">
        <v>686</v>
      </c>
      <c r="F14" t="s">
        <v>688</v>
      </c>
      <c r="G14" t="s">
        <v>686</v>
      </c>
      <c r="K14" t="s">
        <v>979</v>
      </c>
    </row>
    <row r="15" spans="1:12" x14ac:dyDescent="0.35">
      <c r="A15" t="s">
        <v>753</v>
      </c>
      <c r="B15" t="s">
        <v>756</v>
      </c>
      <c r="C15" s="2" t="s">
        <v>753</v>
      </c>
      <c r="D15" t="s">
        <v>754</v>
      </c>
      <c r="E15" t="s">
        <v>753</v>
      </c>
      <c r="F15" t="s">
        <v>755</v>
      </c>
      <c r="G15" t="s">
        <v>753</v>
      </c>
      <c r="K15" t="s">
        <v>979</v>
      </c>
    </row>
    <row r="16" spans="1:12" x14ac:dyDescent="0.35">
      <c r="A16" t="s">
        <v>798</v>
      </c>
      <c r="B16" t="s">
        <v>806</v>
      </c>
      <c r="C16" s="2" t="s">
        <v>799</v>
      </c>
      <c r="D16" t="s">
        <v>800</v>
      </c>
      <c r="E16" t="s">
        <v>798</v>
      </c>
      <c r="F16" t="s">
        <v>801</v>
      </c>
      <c r="G16" t="s">
        <v>798</v>
      </c>
      <c r="K16" t="s">
        <v>979</v>
      </c>
      <c r="L16" t="s">
        <v>1423</v>
      </c>
    </row>
    <row r="17" spans="1:12" x14ac:dyDescent="0.35">
      <c r="A17" t="s">
        <v>802</v>
      </c>
      <c r="B17" t="s">
        <v>805</v>
      </c>
      <c r="C17" s="2" t="s">
        <v>803</v>
      </c>
      <c r="D17" t="s">
        <v>804</v>
      </c>
      <c r="E17" t="s">
        <v>802</v>
      </c>
      <c r="F17" t="s">
        <v>807</v>
      </c>
      <c r="G17" t="s">
        <v>808</v>
      </c>
      <c r="K17" t="s">
        <v>979</v>
      </c>
      <c r="L17" t="s">
        <v>1423</v>
      </c>
    </row>
    <row r="18" spans="1:12" x14ac:dyDescent="0.35">
      <c r="A18" t="s">
        <v>809</v>
      </c>
      <c r="B18" t="s">
        <v>810</v>
      </c>
      <c r="C18" s="2" t="s">
        <v>809</v>
      </c>
      <c r="D18" t="s">
        <v>344</v>
      </c>
      <c r="E18" t="s">
        <v>111</v>
      </c>
      <c r="F18" t="s">
        <v>811</v>
      </c>
      <c r="G18" t="s">
        <v>809</v>
      </c>
      <c r="K18" t="s">
        <v>979</v>
      </c>
      <c r="L18" t="s">
        <v>1423</v>
      </c>
    </row>
    <row r="19" spans="1:12" x14ac:dyDescent="0.35">
      <c r="A19" t="s">
        <v>814</v>
      </c>
      <c r="B19" t="s">
        <v>818</v>
      </c>
      <c r="C19" s="2" t="s">
        <v>815</v>
      </c>
      <c r="D19" t="s">
        <v>816</v>
      </c>
      <c r="E19" t="s">
        <v>814</v>
      </c>
      <c r="F19" t="s">
        <v>817</v>
      </c>
      <c r="G19" t="s">
        <v>814</v>
      </c>
      <c r="K19" t="s">
        <v>979</v>
      </c>
      <c r="L19" t="s">
        <v>1423</v>
      </c>
    </row>
    <row r="20" spans="1:12" x14ac:dyDescent="0.35">
      <c r="A20" t="s">
        <v>821</v>
      </c>
      <c r="B20" t="s">
        <v>805</v>
      </c>
      <c r="C20" s="2" t="s">
        <v>822</v>
      </c>
      <c r="D20" t="s">
        <v>804</v>
      </c>
      <c r="E20" t="s">
        <v>802</v>
      </c>
      <c r="F20" t="s">
        <v>820</v>
      </c>
      <c r="G20" t="s">
        <v>819</v>
      </c>
      <c r="K20" t="s">
        <v>979</v>
      </c>
      <c r="L20" t="s">
        <v>1423</v>
      </c>
    </row>
    <row r="21" spans="1:12" x14ac:dyDescent="0.35">
      <c r="A21" t="s">
        <v>824</v>
      </c>
      <c r="B21" t="s">
        <v>828</v>
      </c>
      <c r="C21" s="2" t="s">
        <v>824</v>
      </c>
      <c r="D21" t="s">
        <v>351</v>
      </c>
      <c r="E21" t="s">
        <v>117</v>
      </c>
      <c r="F21" t="s">
        <v>825</v>
      </c>
      <c r="G21" t="s">
        <v>824</v>
      </c>
      <c r="K21" t="s">
        <v>979</v>
      </c>
      <c r="L21" t="s">
        <v>1423</v>
      </c>
    </row>
    <row r="22" spans="1:12" x14ac:dyDescent="0.35">
      <c r="A22" t="s">
        <v>827</v>
      </c>
      <c r="B22" t="s">
        <v>826</v>
      </c>
      <c r="C22" s="2" t="s">
        <v>827</v>
      </c>
      <c r="D22" t="s">
        <v>348</v>
      </c>
      <c r="E22" t="s">
        <v>113</v>
      </c>
      <c r="F22" t="s">
        <v>829</v>
      </c>
      <c r="G22" t="s">
        <v>827</v>
      </c>
      <c r="K22" t="s">
        <v>979</v>
      </c>
      <c r="L22" t="s">
        <v>1423</v>
      </c>
    </row>
    <row r="23" spans="1:12" x14ac:dyDescent="0.35">
      <c r="A23" t="s">
        <v>830</v>
      </c>
      <c r="B23" t="s">
        <v>831</v>
      </c>
      <c r="C23" s="2" t="s">
        <v>830</v>
      </c>
      <c r="D23" t="s">
        <v>349</v>
      </c>
      <c r="E23" t="s">
        <v>114</v>
      </c>
      <c r="F23" t="s">
        <v>832</v>
      </c>
      <c r="G23" t="s">
        <v>830</v>
      </c>
      <c r="K23" t="s">
        <v>979</v>
      </c>
      <c r="L23" t="s">
        <v>1423</v>
      </c>
    </row>
    <row r="24" spans="1:12" x14ac:dyDescent="0.35">
      <c r="A24" t="s">
        <v>834</v>
      </c>
      <c r="B24" t="s">
        <v>833</v>
      </c>
      <c r="C24" s="2" t="s">
        <v>834</v>
      </c>
      <c r="D24" t="s">
        <v>351</v>
      </c>
      <c r="E24" t="s">
        <v>117</v>
      </c>
      <c r="F24" t="s">
        <v>837</v>
      </c>
      <c r="G24" t="s">
        <v>834</v>
      </c>
      <c r="K24" t="s">
        <v>979</v>
      </c>
      <c r="L24" t="s">
        <v>1423</v>
      </c>
    </row>
    <row r="25" spans="1:12" x14ac:dyDescent="0.35">
      <c r="A25" t="s">
        <v>840</v>
      </c>
      <c r="B25" t="s">
        <v>843</v>
      </c>
      <c r="C25" s="2" t="s">
        <v>840</v>
      </c>
      <c r="D25" t="s">
        <v>348</v>
      </c>
      <c r="E25" t="s">
        <v>113</v>
      </c>
      <c r="F25" t="s">
        <v>838</v>
      </c>
      <c r="G25" t="s">
        <v>840</v>
      </c>
      <c r="K25" t="s">
        <v>979</v>
      </c>
      <c r="L25" t="s">
        <v>1423</v>
      </c>
    </row>
    <row r="26" spans="1:12" x14ac:dyDescent="0.35">
      <c r="A26" t="s">
        <v>841</v>
      </c>
      <c r="B26" t="s">
        <v>842</v>
      </c>
      <c r="C26" s="2" t="s">
        <v>841</v>
      </c>
      <c r="D26" t="s">
        <v>835</v>
      </c>
      <c r="E26" t="s">
        <v>836</v>
      </c>
      <c r="F26" t="s">
        <v>839</v>
      </c>
      <c r="G26" t="s">
        <v>841</v>
      </c>
      <c r="K26" t="s">
        <v>979</v>
      </c>
      <c r="L26" t="s">
        <v>1423</v>
      </c>
    </row>
    <row r="27" spans="1:12" x14ac:dyDescent="0.35">
      <c r="A27" t="s">
        <v>880</v>
      </c>
      <c r="B27" t="s">
        <v>879</v>
      </c>
      <c r="C27" s="2" t="s">
        <v>880</v>
      </c>
      <c r="D27" t="s">
        <v>353</v>
      </c>
      <c r="E27" s="2" t="s">
        <v>119</v>
      </c>
      <c r="F27" t="s">
        <v>949</v>
      </c>
      <c r="G27" t="s">
        <v>878</v>
      </c>
      <c r="K27" t="s">
        <v>979</v>
      </c>
      <c r="L27" t="s">
        <v>1423</v>
      </c>
    </row>
    <row r="28" spans="1:12" x14ac:dyDescent="0.35">
      <c r="A28" t="s">
        <v>950</v>
      </c>
      <c r="B28" t="s">
        <v>957</v>
      </c>
      <c r="C28" t="s">
        <v>950</v>
      </c>
      <c r="D28" t="s">
        <v>348</v>
      </c>
      <c r="E28" s="2" t="s">
        <v>113</v>
      </c>
      <c r="F28" t="s">
        <v>951</v>
      </c>
      <c r="G28" t="s">
        <v>952</v>
      </c>
      <c r="J28" t="s">
        <v>956</v>
      </c>
      <c r="K28" t="s">
        <v>979</v>
      </c>
      <c r="L28" t="s">
        <v>1423</v>
      </c>
    </row>
    <row r="29" spans="1:12" x14ac:dyDescent="0.35">
      <c r="A29" t="s">
        <v>953</v>
      </c>
      <c r="B29" t="s">
        <v>958</v>
      </c>
      <c r="C29" t="s">
        <v>953</v>
      </c>
      <c r="D29" t="s">
        <v>353</v>
      </c>
      <c r="E29" s="2" t="s">
        <v>119</v>
      </c>
      <c r="F29" t="s">
        <v>951</v>
      </c>
      <c r="G29" t="s">
        <v>954</v>
      </c>
      <c r="J29" t="s">
        <v>956</v>
      </c>
      <c r="K29" t="s">
        <v>979</v>
      </c>
      <c r="L29" t="s">
        <v>1423</v>
      </c>
    </row>
    <row r="30" spans="1:12" x14ac:dyDescent="0.35">
      <c r="A30" t="s">
        <v>960</v>
      </c>
      <c r="B30" t="s">
        <v>959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964</v>
      </c>
      <c r="G30" t="s">
        <v>962</v>
      </c>
      <c r="J30" t="s">
        <v>965</v>
      </c>
      <c r="K30" t="s">
        <v>979</v>
      </c>
      <c r="L30" t="s">
        <v>1423</v>
      </c>
    </row>
    <row r="31" spans="1:12" x14ac:dyDescent="0.35">
      <c r="A31" t="s">
        <v>961</v>
      </c>
      <c r="B31" t="s">
        <v>959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964</v>
      </c>
      <c r="G31" t="s">
        <v>963</v>
      </c>
      <c r="J31" t="s">
        <v>965</v>
      </c>
      <c r="K31" t="s">
        <v>979</v>
      </c>
      <c r="L31" t="s">
        <v>1423</v>
      </c>
    </row>
    <row r="32" spans="1:12" x14ac:dyDescent="0.35">
      <c r="A32" t="s">
        <v>975</v>
      </c>
      <c r="B32" t="s">
        <v>118</v>
      </c>
      <c r="C32" t="s">
        <v>975</v>
      </c>
      <c r="D32" t="s">
        <v>353</v>
      </c>
      <c r="E32" s="2" t="s">
        <v>119</v>
      </c>
      <c r="F32" t="s">
        <v>976</v>
      </c>
      <c r="G32" t="s">
        <v>975</v>
      </c>
      <c r="J32" t="s">
        <v>977</v>
      </c>
      <c r="K32" t="s">
        <v>979</v>
      </c>
      <c r="L32" t="s">
        <v>1423</v>
      </c>
    </row>
    <row r="33" spans="1:12" x14ac:dyDescent="0.3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949</v>
      </c>
      <c r="G33" t="s">
        <v>992</v>
      </c>
      <c r="J33" t="s">
        <v>1004</v>
      </c>
      <c r="K33" t="s">
        <v>979</v>
      </c>
      <c r="L33" t="s">
        <v>1423</v>
      </c>
    </row>
    <row r="34" spans="1:12" x14ac:dyDescent="0.3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965</v>
      </c>
      <c r="K34" t="s">
        <v>979</v>
      </c>
      <c r="L34" t="s">
        <v>1423</v>
      </c>
    </row>
    <row r="35" spans="1:12" x14ac:dyDescent="0.3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7" t="s">
        <v>1004</v>
      </c>
      <c r="K35" t="s">
        <v>979</v>
      </c>
      <c r="L35" t="s">
        <v>1423</v>
      </c>
    </row>
    <row r="36" spans="1:12" x14ac:dyDescent="0.3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979</v>
      </c>
      <c r="L36" t="s">
        <v>1423</v>
      </c>
    </row>
    <row r="37" spans="1:12" x14ac:dyDescent="0.3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949</v>
      </c>
      <c r="G37" t="s">
        <v>1007</v>
      </c>
      <c r="J37" t="s">
        <v>1004</v>
      </c>
      <c r="K37" t="s">
        <v>979</v>
      </c>
      <c r="L37" t="s">
        <v>1423</v>
      </c>
    </row>
    <row r="38" spans="1:12" x14ac:dyDescent="0.3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979</v>
      </c>
    </row>
    <row r="39" spans="1:12" x14ac:dyDescent="0.3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979</v>
      </c>
    </row>
    <row r="40" spans="1:12" x14ac:dyDescent="0.35">
      <c r="A40" t="s">
        <v>1479</v>
      </c>
      <c r="B40" t="s">
        <v>1512</v>
      </c>
      <c r="C40" t="s">
        <v>1479</v>
      </c>
      <c r="D40" t="s">
        <v>1514</v>
      </c>
      <c r="E40" t="s">
        <v>1515</v>
      </c>
      <c r="F40" t="s">
        <v>1053</v>
      </c>
      <c r="G40" t="s">
        <v>1052</v>
      </c>
      <c r="H40" t="s">
        <v>1480</v>
      </c>
      <c r="I40" t="s">
        <v>1479</v>
      </c>
      <c r="J40" t="s">
        <v>1513</v>
      </c>
      <c r="K40" t="s">
        <v>979</v>
      </c>
      <c r="L40" t="s">
        <v>1423</v>
      </c>
    </row>
    <row r="41" spans="1:12" x14ac:dyDescent="0.3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979</v>
      </c>
    </row>
    <row r="42" spans="1:12" x14ac:dyDescent="0.3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979</v>
      </c>
      <c r="L42" t="s">
        <v>1447</v>
      </c>
    </row>
    <row r="43" spans="1:12" x14ac:dyDescent="0.3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979</v>
      </c>
      <c r="L43" t="s">
        <v>1447</v>
      </c>
    </row>
    <row r="44" spans="1:12" x14ac:dyDescent="0.3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979</v>
      </c>
      <c r="L44" t="s">
        <v>1447</v>
      </c>
    </row>
    <row r="45" spans="1:12" x14ac:dyDescent="0.3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979</v>
      </c>
      <c r="L45" t="s">
        <v>1447</v>
      </c>
    </row>
    <row r="46" spans="1:12" x14ac:dyDescent="0.3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979</v>
      </c>
      <c r="L46" t="s">
        <v>1447</v>
      </c>
    </row>
    <row r="47" spans="1:12" x14ac:dyDescent="0.3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949</v>
      </c>
      <c r="G47" t="s">
        <v>1075</v>
      </c>
      <c r="K47" t="s">
        <v>979</v>
      </c>
      <c r="L47" t="s">
        <v>1447</v>
      </c>
    </row>
    <row r="48" spans="1:12" x14ac:dyDescent="0.3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979</v>
      </c>
      <c r="L48" t="s">
        <v>1447</v>
      </c>
    </row>
    <row r="49" spans="1:12" x14ac:dyDescent="0.35">
      <c r="A49" t="s">
        <v>1146</v>
      </c>
      <c r="B49" t="s">
        <v>1147</v>
      </c>
      <c r="C49" s="2" t="s">
        <v>1146</v>
      </c>
      <c r="D49" t="s">
        <v>659</v>
      </c>
      <c r="E49" s="2" t="s">
        <v>657</v>
      </c>
      <c r="F49" t="s">
        <v>1148</v>
      </c>
      <c r="G49" t="s">
        <v>1146</v>
      </c>
      <c r="K49" t="s">
        <v>979</v>
      </c>
      <c r="L49" t="s">
        <v>1447</v>
      </c>
    </row>
    <row r="50" spans="1:12" x14ac:dyDescent="0.3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979</v>
      </c>
      <c r="L50" t="s">
        <v>1447</v>
      </c>
    </row>
    <row r="51" spans="1:12" x14ac:dyDescent="0.3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979</v>
      </c>
      <c r="L51" t="s">
        <v>1447</v>
      </c>
    </row>
    <row r="52" spans="1:12" x14ac:dyDescent="0.3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979</v>
      </c>
      <c r="L52" t="s">
        <v>1447</v>
      </c>
    </row>
    <row r="53" spans="1:12" x14ac:dyDescent="0.3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979</v>
      </c>
      <c r="L53" t="s">
        <v>1423</v>
      </c>
    </row>
    <row r="54" spans="1:12" x14ac:dyDescent="0.3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979</v>
      </c>
      <c r="L54" t="s">
        <v>1423</v>
      </c>
    </row>
    <row r="55" spans="1:12" x14ac:dyDescent="0.35">
      <c r="A55" s="32" t="s">
        <v>1379</v>
      </c>
      <c r="B55" s="33" t="s">
        <v>1380</v>
      </c>
      <c r="C55" s="33" t="s">
        <v>1379</v>
      </c>
      <c r="D55" s="33" t="s">
        <v>985</v>
      </c>
      <c r="E55" s="33" t="s">
        <v>986</v>
      </c>
      <c r="F55" s="33" t="s">
        <v>1381</v>
      </c>
      <c r="G55" s="33" t="s">
        <v>1382</v>
      </c>
      <c r="H55" s="33"/>
      <c r="I55" s="33"/>
      <c r="J55" s="33"/>
      <c r="K55" s="39" t="s">
        <v>979</v>
      </c>
    </row>
    <row r="56" spans="1:12" x14ac:dyDescent="0.35">
      <c r="A56" t="s">
        <v>1383</v>
      </c>
      <c r="B56" t="s">
        <v>1384</v>
      </c>
      <c r="C56" s="2" t="s">
        <v>1383</v>
      </c>
      <c r="D56" s="33" t="s">
        <v>1385</v>
      </c>
      <c r="E56" t="s">
        <v>1383</v>
      </c>
      <c r="F56" s="33" t="s">
        <v>1387</v>
      </c>
      <c r="G56" t="s">
        <v>1388</v>
      </c>
      <c r="J56" t="s">
        <v>1386</v>
      </c>
      <c r="K56" s="39" t="s">
        <v>979</v>
      </c>
      <c r="L56" t="s">
        <v>1423</v>
      </c>
    </row>
    <row r="57" spans="1:12" x14ac:dyDescent="0.3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7" t="s">
        <v>1399</v>
      </c>
      <c r="K57" t="s">
        <v>979</v>
      </c>
      <c r="L57" t="s">
        <v>1447</v>
      </c>
    </row>
    <row r="58" spans="1:12" x14ac:dyDescent="0.3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7" t="s">
        <v>1399</v>
      </c>
      <c r="K58" s="40" t="s">
        <v>979</v>
      </c>
      <c r="L58" t="s">
        <v>1447</v>
      </c>
    </row>
    <row r="59" spans="1:12" x14ac:dyDescent="0.35">
      <c r="A59">
        <v>430450200</v>
      </c>
      <c r="B59" t="s">
        <v>1431</v>
      </c>
      <c r="C59">
        <v>430450200</v>
      </c>
      <c r="D59" t="s">
        <v>353</v>
      </c>
      <c r="E59" t="s">
        <v>119</v>
      </c>
      <c r="F59" t="s">
        <v>1432</v>
      </c>
      <c r="G59" t="s">
        <v>1433</v>
      </c>
      <c r="J59" t="s">
        <v>1434</v>
      </c>
      <c r="K59" t="s">
        <v>979</v>
      </c>
      <c r="L59" t="s">
        <v>1423</v>
      </c>
    </row>
    <row r="60" spans="1:12" x14ac:dyDescent="0.35">
      <c r="A60" t="s">
        <v>1435</v>
      </c>
      <c r="B60" t="s">
        <v>1436</v>
      </c>
      <c r="C60" t="s">
        <v>1435</v>
      </c>
      <c r="D60" t="s">
        <v>1437</v>
      </c>
      <c r="E60" t="s">
        <v>1435</v>
      </c>
      <c r="F60" t="s">
        <v>1438</v>
      </c>
      <c r="G60" t="s">
        <v>1435</v>
      </c>
      <c r="J60" t="s">
        <v>1439</v>
      </c>
      <c r="K60" t="s">
        <v>979</v>
      </c>
      <c r="L60" t="s">
        <v>1423</v>
      </c>
    </row>
    <row r="61" spans="1:12" x14ac:dyDescent="0.35">
      <c r="A61" t="s">
        <v>1450</v>
      </c>
      <c r="B61" t="s">
        <v>1451</v>
      </c>
      <c r="C61" s="2" t="s">
        <v>1452</v>
      </c>
      <c r="D61" t="str">
        <f t="shared" ref="D61" si="9">CONCATENATE("Schematic\Connectors\", E61, ".SchLib")</f>
        <v>Schematic\Connectors\RJ45-8p8c.SchLib</v>
      </c>
      <c r="E61" t="s">
        <v>1453</v>
      </c>
      <c r="F61" t="str">
        <f t="shared" ref="F61" si="10">CONCATENATE("Footprints\Connectors\", G61, ".PcbLib")</f>
        <v>Footprints\Connectors\1-406541-5.PcbLib</v>
      </c>
      <c r="G61" t="s">
        <v>1452</v>
      </c>
      <c r="J61" s="37" t="s">
        <v>1454</v>
      </c>
      <c r="K61" t="s">
        <v>979</v>
      </c>
      <c r="L61" t="s">
        <v>1447</v>
      </c>
    </row>
    <row r="62" spans="1:12" x14ac:dyDescent="0.35">
      <c r="A62" t="s">
        <v>1481</v>
      </c>
      <c r="B62" t="s">
        <v>1482</v>
      </c>
      <c r="C62" t="s">
        <v>1481</v>
      </c>
      <c r="D62" s="33" t="s">
        <v>1483</v>
      </c>
      <c r="E62" t="s">
        <v>1481</v>
      </c>
      <c r="F62" s="33" t="s">
        <v>1484</v>
      </c>
      <c r="G62" t="s">
        <v>1481</v>
      </c>
      <c r="J62" s="37" t="s">
        <v>1485</v>
      </c>
      <c r="K62" s="39" t="s">
        <v>979</v>
      </c>
      <c r="L62" t="s">
        <v>1423</v>
      </c>
    </row>
    <row r="63" spans="1:12" x14ac:dyDescent="0.35">
      <c r="A63" t="s">
        <v>1547</v>
      </c>
      <c r="B63" t="s">
        <v>1550</v>
      </c>
      <c r="C63" s="2" t="s">
        <v>1547</v>
      </c>
      <c r="D63" s="33" t="s">
        <v>1546</v>
      </c>
      <c r="E63" t="s">
        <v>1547</v>
      </c>
      <c r="F63" s="33" t="s">
        <v>1549</v>
      </c>
      <c r="G63" t="s">
        <v>1548</v>
      </c>
      <c r="J63" t="s">
        <v>1545</v>
      </c>
      <c r="K63" s="39" t="s">
        <v>979</v>
      </c>
      <c r="L63" t="s">
        <v>1423</v>
      </c>
    </row>
    <row r="64" spans="1:12" x14ac:dyDescent="0.35">
      <c r="A64" t="s">
        <v>1552</v>
      </c>
      <c r="B64" t="s">
        <v>1551</v>
      </c>
      <c r="C64">
        <v>467650001</v>
      </c>
      <c r="D64" s="33" t="s">
        <v>1553</v>
      </c>
      <c r="E64">
        <v>467650001</v>
      </c>
      <c r="F64" s="33" t="s">
        <v>1554</v>
      </c>
      <c r="G64">
        <v>467650001</v>
      </c>
      <c r="J64" t="s">
        <v>1555</v>
      </c>
      <c r="K64" s="39" t="s">
        <v>979</v>
      </c>
      <c r="L64" t="s">
        <v>1423</v>
      </c>
    </row>
    <row r="65" spans="1:12" x14ac:dyDescent="0.35">
      <c r="A65" t="s">
        <v>1560</v>
      </c>
      <c r="B65" t="s">
        <v>1561</v>
      </c>
      <c r="C65" s="2" t="s">
        <v>1560</v>
      </c>
      <c r="D65" s="33" t="s">
        <v>1558</v>
      </c>
      <c r="E65" t="s">
        <v>1556</v>
      </c>
      <c r="F65" s="33" t="s">
        <v>1557</v>
      </c>
      <c r="G65" t="s">
        <v>1556</v>
      </c>
      <c r="J65" t="s">
        <v>1559</v>
      </c>
      <c r="K65" s="39" t="s">
        <v>979</v>
      </c>
      <c r="L65" t="s">
        <v>1423</v>
      </c>
    </row>
    <row r="66" spans="1:12" x14ac:dyDescent="0.35">
      <c r="A66" t="s">
        <v>1563</v>
      </c>
      <c r="B66" t="s">
        <v>1567</v>
      </c>
      <c r="C66" s="2" t="s">
        <v>1563</v>
      </c>
      <c r="D66" s="33" t="s">
        <v>1564</v>
      </c>
      <c r="E66" t="s">
        <v>1563</v>
      </c>
      <c r="F66" s="33" t="s">
        <v>1565</v>
      </c>
      <c r="G66" t="s">
        <v>1563</v>
      </c>
      <c r="J66" t="s">
        <v>1566</v>
      </c>
      <c r="K66" s="39" t="s">
        <v>979</v>
      </c>
      <c r="L66" t="s">
        <v>1423</v>
      </c>
    </row>
    <row r="67" spans="1:12" x14ac:dyDescent="0.35">
      <c r="A67" t="s">
        <v>1581</v>
      </c>
      <c r="B67" t="s">
        <v>1582</v>
      </c>
      <c r="C67" s="2" t="s">
        <v>1581</v>
      </c>
      <c r="D67" t="str">
        <f t="shared" ref="D67" si="11">CONCATENATE("Schematic\Connectors\", E67, ".SchLib")</f>
        <v>Schematic\Connectors\Conn_4pin_sh.SchLib</v>
      </c>
      <c r="E67" t="s">
        <v>1580</v>
      </c>
      <c r="F67" t="str">
        <f t="shared" ref="F67" si="12">CONCATENATE("Footprints\Connectors\", G67, ".PcbLib")</f>
        <v>Footprints\Connectors\BM04B-SRSS-TB.PcbLib</v>
      </c>
      <c r="G67" t="s">
        <v>1581</v>
      </c>
      <c r="J67" s="37" t="s">
        <v>1583</v>
      </c>
      <c r="K67" s="39" t="s">
        <v>979</v>
      </c>
      <c r="L67" t="s">
        <v>1423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Other</vt:lpstr>
      <vt:lpstr>Thyristors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2026-08-22T20:26:21Z</dcterms:modified>
</cp:coreProperties>
</file>